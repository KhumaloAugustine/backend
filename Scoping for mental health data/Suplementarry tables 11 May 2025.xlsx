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mc:AlternateContent xmlns:mc="http://schemas.openxmlformats.org/markup-compatibility/2006">
    <mc:Choice Requires="x15">
      <x15ac:absPath xmlns:x15ac="http://schemas.microsoft.com/office/spreadsheetml/2010/11/ac" url="https://samrc-my.sharepoint.com/personal/jason_bantjes_mrc_ac_za/Documents/Documents/SA prevalence review - sent to co-authors for comment 16 April/BMJ Global Health Submission/"/>
    </mc:Choice>
  </mc:AlternateContent>
  <xr:revisionPtr revIDLastSave="97" documentId="8_{38603AFE-7F38-448C-A6D9-1BC762C724D6}" xr6:coauthVersionLast="47" xr6:coauthVersionMax="47" xr10:uidLastSave="{674D7556-4D06-439A-A4B3-F48A1C7C1584}"/>
  <bookViews>
    <workbookView xWindow="-93" yWindow="-93" windowWidth="25786" windowHeight="13986" firstSheet="2" activeTab="1" xr2:uid="{4081E708-42D3-479A-B547-6FB3078D530B}"/>
  </bookViews>
  <sheets>
    <sheet name="Table S1" sheetId="1" r:id="rId1"/>
    <sheet name="Table S2" sheetId="2" r:id="rId2"/>
    <sheet name="Table  S4" sheetId="16" r:id="rId3"/>
    <sheet name="Table S3" sheetId="3" r:id="rId4"/>
    <sheet name="Table S5" sheetId="5" r:id="rId5"/>
    <sheet name="Table S6" sheetId="6" r:id="rId6"/>
    <sheet name="Table S7" sheetId="14" r:id="rId7"/>
    <sheet name="Table S8" sheetId="1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1" i="2" l="1"/>
</calcChain>
</file>

<file path=xl/sharedStrings.xml><?xml version="1.0" encoding="utf-8"?>
<sst xmlns="http://schemas.openxmlformats.org/spreadsheetml/2006/main" count="1391" uniqueCount="493">
  <si>
    <r>
      <t>Tabel S1:</t>
    </r>
    <r>
      <rPr>
        <sz val="11"/>
        <color theme="1"/>
        <rFont val="Arial"/>
        <family val="2"/>
      </rPr>
      <t xml:space="preserve"> Search terms for PubMed, PsycINFO, Web of Science, and Scielo.org (South Africa Collection)</t>
    </r>
  </si>
  <si>
    <t>Block 1: only in the title</t>
  </si>
  <si>
    <t>(adolesc* OR preadolesc* OR pre-adolesc* OR child* OR boy OR girl OR infant* OR juvenil* OR minors OR paediatri* OR pediatri* OR pubescen* OR puberty OR school* OR student* OR teen* OR young OR youth* OR class* OR orphan* OR high-school OR "high school” OR preschool* OR pre-school*)</t>
  </si>
  <si>
    <t>OR</t>
  </si>
  <si>
    <t>Block 2: any field</t>
  </si>
  <si>
    <t>(“South Africa” OR “South African” OR “South-African”)</t>
  </si>
  <si>
    <t>Block 3: any field</t>
  </si>
  <si>
    <t>(Mental disorder) OR (“Mental health” OR “Autism” OR “Enuresis” OR “Encopresis” OR ADHD OR OR “Attention Deficit Hyperactivity Disorder” “Intellectual disability” OR “Mental retardation” OR “Oppositional Defiant Disorder” OR “Conduct Disorder” OR “Depression” OR “Bipolar” OR “Disruptive Mood Dysregulation Disorder” OR “Suicide” OR “Suicidality” OR “Self-harm” OR “Obsessive-compulsive disorder” OR “Trauma” OR “PTSD” OR “Mutism” OR “Substance abuse” OR “Cannabis” OR “Alcohol” OR “Drug abuse” OR “Anorexia” OR “Bulimia” OR “Eating disorder” OR “Borderline” OR “personality” OR “Schizophrenia” OR “Psychosis” OR "Mental health" OR "Quality of life" OR "Well-being" OR “learning disorder” OR “learning delay” OR “cognitive” OR “anxi*” OR “phob*” OR “panic”)</t>
  </si>
  <si>
    <t>Table S2: Full details of all included studies reporting mental disorders</t>
  </si>
  <si>
    <t xml:space="preserve">Citation </t>
  </si>
  <si>
    <t>Data source</t>
  </si>
  <si>
    <t>Data collection method</t>
  </si>
  <si>
    <t xml:space="preserve">Year of publication </t>
  </si>
  <si>
    <t>Geographic location of data collection</t>
  </si>
  <si>
    <t>Study design</t>
  </si>
  <si>
    <t>Sampling_procures</t>
  </si>
  <si>
    <t>Sample_size</t>
  </si>
  <si>
    <t>Mean age</t>
  </si>
  <si>
    <t>Age Range</t>
  </si>
  <si>
    <t>Females (%) in sample</t>
  </si>
  <si>
    <t>Dx</t>
  </si>
  <si>
    <t xml:space="preserve">Dx/Symptom severity </t>
  </si>
  <si>
    <t>Instrument</t>
  </si>
  <si>
    <t>Criteria</t>
  </si>
  <si>
    <t>Duration</t>
  </si>
  <si>
    <t>Prev</t>
  </si>
  <si>
    <t>95% CI</t>
  </si>
  <si>
    <t xml:space="preserve">Overall Appraisal </t>
  </si>
  <si>
    <t>Sensitivity</t>
  </si>
  <si>
    <t xml:space="preserve">Specificity </t>
  </si>
  <si>
    <t>True Prev</t>
  </si>
  <si>
    <t>Reference for sensitivity and specificty values</t>
  </si>
  <si>
    <t>Ajaero, C.K., C.T. Nzeadibe, and E.E. Igboeli, Rural-urban differences in the prevalence and predictors of depression among adolescents in South Africa. South African Journal of Child Health, 2018. 12: p. s71-s74.</t>
  </si>
  <si>
    <t>Ajaero et al., 2018</t>
  </si>
  <si>
    <t>Survey (community-based)</t>
  </si>
  <si>
    <t>Self-report</t>
  </si>
  <si>
    <t>National</t>
  </si>
  <si>
    <t xml:space="preserve">Cross-sectional </t>
  </si>
  <si>
    <t>Probability</t>
  </si>
  <si>
    <t>15 - 19</t>
  </si>
  <si>
    <t>Depressive Disorder</t>
  </si>
  <si>
    <t>Symptom severity</t>
  </si>
  <si>
    <t>Centre for  Epidemiological Studies Depression scale questionnaire-10 (CES-D  10).</t>
  </si>
  <si>
    <t xml:space="preserve">CES-D 10 score &gt;10 </t>
  </si>
  <si>
    <t>1-week</t>
  </si>
  <si>
    <t>(1,4% - 21,9%)</t>
  </si>
  <si>
    <t xml:space="preserve">Sufficient </t>
  </si>
  <si>
    <t>0,80</t>
  </si>
  <si>
    <t>Can the Center for Epidemiologic Studies Depression Scale Be Used to Screen for Depression in Children and Adolescents? An Updated Systematic Review</t>
  </si>
  <si>
    <t>Barhafumwa, B., et al., High prevalence of depression symptomology among adolescents in Soweto, South Africa associated with being female and cofactors relating to HIV transmission. Vulnerable Children and Youth Studies, 2016. 11(3): p. 263-273.</t>
  </si>
  <si>
    <t>Barhafumwa et al., 2016</t>
  </si>
  <si>
    <t>GAU</t>
  </si>
  <si>
    <t xml:space="preserve">Convenience </t>
  </si>
  <si>
    <t xml:space="preserve"> </t>
  </si>
  <si>
    <t>N/A</t>
  </si>
  <si>
    <t>Centre for Epidemiologic Studies Depression Scale-20 (CES-D-20)</t>
  </si>
  <si>
    <t>CES-D-20  score ≥ 24</t>
  </si>
  <si>
    <t>(29,7% - 36,3%)</t>
  </si>
  <si>
    <t>0.81 </t>
  </si>
  <si>
    <t>0.72 </t>
  </si>
  <si>
    <t>Can the Center for Epidemiologic Studies Depression Scale Be Used to Screen for Depression in Children and Adolescents? An Updated Systematic Review | Child Psychiatry &amp; Human Development</t>
  </si>
  <si>
    <t>Collings Steven, J., L. Penning Susan, and R. Valjee Sachet, Lifetime poly-victimization and posttraumatic stress disorder among school-going adolescents in Durban, South Africa. African Journal of Psychiatry, 2014. 17(5): p. 1-5.</t>
  </si>
  <si>
    <t>Collings et al., 2014</t>
  </si>
  <si>
    <t>Survey (school-based)</t>
  </si>
  <si>
    <t>KZN</t>
  </si>
  <si>
    <t>12 - 20</t>
  </si>
  <si>
    <t>PTSD</t>
  </si>
  <si>
    <t>Diagnosis</t>
  </si>
  <si>
    <t>Davidson  Trauma Scales (DTS)</t>
  </si>
  <si>
    <t>Minimum frequency score of 2 and minimum severity score of 2  for at least: one re-experiencing symptom, 3 avoidance symptoms, and 2 hyper-arousal symptoms.</t>
  </si>
  <si>
    <t>(26,2% - 32,8%)</t>
  </si>
  <si>
    <t>Cortina, M.A., et al., Childhood psychological problems in school settings in rural Southern Africa. PloS one, 2013. 8(6): p. e65041.</t>
  </si>
  <si>
    <t>Cortina et al., 2013</t>
  </si>
  <si>
    <t xml:space="preserve"> Observation</t>
  </si>
  <si>
    <t>MP</t>
  </si>
  <si>
    <t>10 - 12</t>
  </si>
  <si>
    <t>Emotional and Behavioural difficulties</t>
  </si>
  <si>
    <t>Strengths and Difficulties Questionnaire (SDQ) - Teacher-report scales</t>
  </si>
  <si>
    <t>Standard norms for SDQ total score</t>
  </si>
  <si>
    <t>1 month</t>
  </si>
  <si>
    <t>(40,9% - 41,1%)</t>
  </si>
  <si>
    <t>Screening Efficiency of the Child Behavior Checklist and Strengths and Difficulties Questionnaire: A Systematic Review - Warnick - 2008 - Child and Adolescent Mental Health - Wiley Online Library</t>
  </si>
  <si>
    <t xml:space="preserve">Self-report </t>
  </si>
  <si>
    <t xml:space="preserve"> Trauma symptom checklist for children - Alternate form</t>
  </si>
  <si>
    <t>Norms specified in the TSCC manual</t>
  </si>
  <si>
    <t>1-month</t>
  </si>
  <si>
    <t>(23,9% - 23,9%)</t>
  </si>
  <si>
    <t>Disruptive Behaviour  Di-sorder</t>
  </si>
  <si>
    <t>Standard norms for SDQ</t>
  </si>
  <si>
    <t>(15,2% - 15,3%)</t>
  </si>
  <si>
    <t>Anxiety/Depression</t>
  </si>
  <si>
    <t xml:space="preserve"> Youth Self Report (YSR) anxious/  depressed scale</t>
  </si>
  <si>
    <t>Group 2, YSR Multicultural supplement norms</t>
  </si>
  <si>
    <t>6-months</t>
  </si>
  <si>
    <t>(14,1% - 14,1%)</t>
  </si>
  <si>
    <t>Das-Munshi, J., et al., Mental Health Inequalities in Adolescents Growing Up in Post-Apartheid South Africa: Cross-Sectional Survey, SHaW Study. PloS one, 2016. 11(5): p. e0154478.</t>
  </si>
  <si>
    <t>Das-Munshi et al., 2016</t>
  </si>
  <si>
    <t>WC</t>
  </si>
  <si>
    <t>14 - 15</t>
  </si>
  <si>
    <t>Anxiety Disorder</t>
  </si>
  <si>
    <t xml:space="preserve"> Zung self-rated anxiety scale</t>
  </si>
  <si>
    <t>Score ≥ 43</t>
  </si>
  <si>
    <t>2-weeks</t>
  </si>
  <si>
    <t>(13,7% - 18,3%)</t>
  </si>
  <si>
    <t xml:space="preserve"> Short Moods and Feelings Questionnaire (SMFQ)</t>
  </si>
  <si>
    <t>SMFQ scores ≥  8</t>
  </si>
  <si>
    <t>(38,0% - 44,0%)</t>
  </si>
  <si>
    <t>Self-Report Version</t>
  </si>
  <si>
    <t xml:space="preserve">Harvard Trauma Questionnaire (HTQ) </t>
  </si>
  <si>
    <t xml:space="preserve"> DSM-II-R criteria</t>
  </si>
  <si>
    <t>(18,6% - 23,5%)</t>
  </si>
  <si>
    <t>de Milander, M., et al., Prevalence of ADHD symptoms and their association with learning-related skills in Grade 1 children in South Africa. SOUTH AFRICAN JOURNAL OF EDUCATION, 2020. 40(3).</t>
  </si>
  <si>
    <t>de Milander et al., 2020</t>
  </si>
  <si>
    <t xml:space="preserve">Observation </t>
  </si>
  <si>
    <t>FS</t>
  </si>
  <si>
    <t>6 - 7</t>
  </si>
  <si>
    <t>ADHD</t>
  </si>
  <si>
    <t>Strengths and Weaknesses of Attention-Deficit/Hyperactivity Symptoms and Normal Behavior Scale (The SWAN)</t>
  </si>
  <si>
    <t xml:space="preserve">Score ≥ 6  on either  the hyperactive/impulsive subscale or the inattentive  subscale. </t>
  </si>
  <si>
    <t>6 months</t>
  </si>
  <si>
    <t>(21,1% - 29,7%)</t>
  </si>
  <si>
    <t>French Version of the Strengths and Weaknesses of ADHD Symptoms and Normal Behaviors (SWAN-F) Questionnaire - PMC</t>
  </si>
  <si>
    <t>Dietrich, J.J., et al., High cellphone use associated with greater risk of depression among young women aged 15-24 years in Soweto and Durban, South Africa. Global health action, 2021. 14(1): p. 1936792.</t>
  </si>
  <si>
    <t>Dietrich et al., 2021</t>
  </si>
  <si>
    <t>GAU+KZN</t>
  </si>
  <si>
    <t xml:space="preserve">Longitudinal </t>
  </si>
  <si>
    <t>16 - 24</t>
  </si>
  <si>
    <t>Centre for  Epidemiologic Studies Short Depression Scale-10 (CESD-  10)</t>
  </si>
  <si>
    <t xml:space="preserve">CESD-10 score of ≥ 10 </t>
  </si>
  <si>
    <t>(38,6% - 48,0%)</t>
  </si>
  <si>
    <t>Validation of the 10-item Centre for Epidemiological Studies Depression Scale (CES-D-10) in Zulu, Xhosa and Afrikaans populations in South Africa | BMC Psychiatry</t>
  </si>
  <si>
    <t>Fernander, A.F., et al., Gender differences in depression and smoking among youth in Cape Town, South Africa. Ethnicity &amp; disease, 2006. 16(1): p. 41-50.</t>
  </si>
  <si>
    <t>Fernander et al., 2006</t>
  </si>
  <si>
    <t>Beck  Depression Inventory</t>
  </si>
  <si>
    <t>BDI score  ≥ 20</t>
  </si>
  <si>
    <t>(19,3% - 25,9%)</t>
  </si>
  <si>
    <t>Prevalence of major depressive disorders and a validation of the beck depression inventory among nigerian adolescents | European Child &amp; Adolescent Psychiatry</t>
  </si>
  <si>
    <t>Hiscox, L.V., et al., Sex differences in post-traumatic stress disorder in a high adversity cohort of South African adolescents: an examination of depressive symptoms, age, and trauma type as explanatory factors. European journal of psychotraumatology, 2021. 12(1): p. 1978669.</t>
  </si>
  <si>
    <t>Hiscox et al., 2021</t>
  </si>
  <si>
    <t>13 - 17</t>
  </si>
  <si>
    <t>Child PTSD Symptom Scale - Self   Report for DSM-5 (CPSS-SR-5)</t>
  </si>
  <si>
    <t>PTSS score &gt;31</t>
  </si>
  <si>
    <t>(24,4% - 30,9%)</t>
  </si>
  <si>
    <t>Full article: Psychometrics of the Child PTSD Symptom Scale for DSM-5 for Trauma-Exposed Children and Adolescents</t>
  </si>
  <si>
    <t xml:space="preserve">Liang, H., A.J. Flisher, and D.O. Chalton, Mental and physical health of out of school children in a South African township. European child &amp; adolescent psychiatry, 2002. 11(6): p. 257-60. </t>
  </si>
  <si>
    <t>Liang et al., 2002</t>
  </si>
  <si>
    <t>Self-report &amp;  Observation</t>
  </si>
  <si>
    <t>6 - 16</t>
  </si>
  <si>
    <t>Diagnostic Interview Schedule for Children Version 2.3 (DISC-2.3).</t>
  </si>
  <si>
    <t>DSM-III-R</t>
  </si>
  <si>
    <t>(0,9% - 3,9%)</t>
  </si>
  <si>
    <t>(1,6% - 5,2%)</t>
  </si>
  <si>
    <t>(2,0% - 6,0%)</t>
  </si>
  <si>
    <t>Maserumule, O. M., Skaal, L., &amp; Sithole, S. L. (2019). Alcohol use among high school learners in rural areas of Limpopo province. South African journal of psychiatry, 25(1), 1-6.</t>
  </si>
  <si>
    <t>Maserumule et al., 2019</t>
  </si>
  <si>
    <t xml:space="preserve"> Limpopo</t>
  </si>
  <si>
    <t>Cross-sectional</t>
  </si>
  <si>
    <t>Probability sampling</t>
  </si>
  <si>
    <t>11 - 25</t>
  </si>
  <si>
    <t xml:space="preserve">Alcohol  Use Problems </t>
  </si>
  <si>
    <t>AUDIT</t>
  </si>
  <si>
    <t>AUDIT scores  ≥ 12</t>
  </si>
  <si>
    <t>12-month</t>
  </si>
  <si>
    <t>(30,7% - 41,3%)</t>
  </si>
  <si>
    <t>Alcohol screening and assessment measures for young people: A systematic review and meta-analysis of validation studies - ScienceDirect</t>
  </si>
  <si>
    <t>May, P.A., et al., Replication of High Fetal Alcohol Spectrum Disorders Prevalence Rates, Child Characteristics, and Maternal Risk Factors in a Second Sample of Rural Communities in South Africa. International journal of environmental research and public health, 2017. 14(5).</t>
  </si>
  <si>
    <t>May et al., 2017</t>
  </si>
  <si>
    <t>FAS</t>
  </si>
  <si>
    <t>Dysmorphology examination to identify physical traits.  Achenbach Teacher Report Forms (TRF) to assess inattention and behavioural issues. Test of Reception of Grammar (TROG)  for verbal ability; Raven Coloured Progressive Matrices for non-verbal performance. Digit Span (subtest) of the Wechsler Intelligence Scales for Children (3rd Ed) for working memory. Maternal interview.</t>
  </si>
  <si>
    <t>Institute of Medicine (IOM) diagnostic criteria.</t>
  </si>
  <si>
    <t>Lifetime</t>
  </si>
  <si>
    <t>(10,0% - 13,8%)</t>
  </si>
  <si>
    <t>May, P.A., et al., The prevalence, child characteristics, and maternal risk factors for the continuum of fetal alcohol spectrum disorders: A sixth population-based study in the same South African community. Drug and alcohol dependence, 2021. 218: p. 108408.</t>
  </si>
  <si>
    <t>May et al., 2021</t>
  </si>
  <si>
    <t xml:space="preserve">Dysmorphology examination to identify physical traits. Achenbach Teacher Report Forms (TRF) to assess inattention and behavioural issues. Kaufman Assessment Battery for Children (KABC-II) to assess cognitive functioning.  Maternal interview. </t>
  </si>
  <si>
    <t>Institute of Medicine (IOM) diagnostic criteria</t>
  </si>
  <si>
    <t>(4,7% - 8,3%)</t>
  </si>
  <si>
    <t>May, P.A., et al., The prevalence of fetal alcohol spectrum disorders in rural communities in South Africa: A third regional sample of child characteristics and maternal risk factors. Alcoholism, clinical and experimental research, 2022. 46(10): p. 1819-1836.</t>
  </si>
  <si>
    <t>May et al., 2022</t>
  </si>
  <si>
    <t>(8,7% - 12,7%)</t>
  </si>
  <si>
    <t>Meyer, A., Attention deficit/hyperactivity disorder among North Sotho speaking primary school children in South Africa: Prevalence and sex ratios. Journal of Psychology in Africa; South of the Sahara, the Caribbean, and Afro-Latin America, 1998. 2: p. 186-195.</t>
  </si>
  <si>
    <t>Meyer, 1998</t>
  </si>
  <si>
    <t>NC</t>
  </si>
  <si>
    <t>6 - 12</t>
  </si>
  <si>
    <t>Disruptive Behavior Disorders Rating Scale</t>
  </si>
  <si>
    <t>Score &gt;6 on the "Inattention Scale"   or  &gt;6 on the "Impulsive/Hyperactive Scale" or &gt; 12 on the two scales combined.</t>
  </si>
  <si>
    <t>(3,8% - 10,4%)</t>
  </si>
  <si>
    <t>Psychometrics of rating scales for externalizing disorders in Japanese outpatients: The ADHD‐Rating Scale‐5 and the Disruptive Behavior Disorders Rating Scale - Ishibashi - 2024 - International Journal of Methods in Psychiatric Research - Wiley Online Library</t>
  </si>
  <si>
    <t>Mkhize, M., van der Westhuizen, C., &amp; Sorsdahl, K. (2024). Prevalence and factors associated with depression and anxiety among young school-going adolescents in the Western Cape Province of South Africa. Comprehensive psychiatry, 131, 152469. https://doi.org/10.1016/j.comppsych.2024.152469</t>
  </si>
  <si>
    <t>Mkhize et al., 2024</t>
  </si>
  <si>
    <t>Convenience</t>
  </si>
  <si>
    <t>10 - 14</t>
  </si>
  <si>
    <t>Patient Health Questionnaire for Adolescents (PHQ-A)</t>
  </si>
  <si>
    <t>PHQ-A Score ≥ 10</t>
  </si>
  <si>
    <t>2-week</t>
  </si>
  <si>
    <t>(29,8% -  37,2%)</t>
  </si>
  <si>
    <t>Sufficient</t>
  </si>
  <si>
    <t>Detecting Depression and Anxiety Among Adolescents in South Africa: Validity of the isiXhosa Patient Health Questionnaire-9 and Generalized Anxiety Disorder-7 - ScienceDirect</t>
  </si>
  <si>
    <t>The Generalized Anxiety Disorder (GAD-7)</t>
  </si>
  <si>
    <t>GAD-7 score ≥ 10</t>
  </si>
  <si>
    <t>(18,8% - 25,0%)</t>
  </si>
  <si>
    <t>A systematic review of validated screening tools for anxiety disorders and PTSD in low to middle income countries | BMC Psychiatry</t>
  </si>
  <si>
    <t>Mngoma, N.F., et al., Distress, desperation and despair: anxiety, depression and suicidality among rural South African youth. International review of psychiatry (Abingdon, England), 2021. 33(1): p. 64-74.</t>
  </si>
  <si>
    <t>Mngoma et al., 2021</t>
  </si>
  <si>
    <t>14 - 24</t>
  </si>
  <si>
    <t xml:space="preserve">Brief Symptom  Inventory </t>
  </si>
  <si>
    <t>t-score of ≥63</t>
  </si>
  <si>
    <t>(1,5% - 1,8%)</t>
  </si>
  <si>
    <t xml:space="preserve"> Brief Symptom  Inventory </t>
  </si>
  <si>
    <t>(1,6% - 1,8%)</t>
  </si>
  <si>
    <t>Moodley, S.V., M.J. Matjila, and M.Y.H. Moosa, Epidemiology of substance use among secondary school learners in Atteridgeville, Gauteng. SOUTH AFRICAN JOURNAL OF PSYCHIATRY, 2012. 18(1): p. 2-+.</t>
  </si>
  <si>
    <t>Moodley et al., 2012</t>
  </si>
  <si>
    <t>13 - N/A</t>
  </si>
  <si>
    <t>Substance Use Disorder</t>
  </si>
  <si>
    <t xml:space="preserve"> CRAFFT screening instrument</t>
  </si>
  <si>
    <t>CRAFFT≥ 2</t>
  </si>
  <si>
    <t xml:space="preserve">(24,5% - 36,1%) </t>
  </si>
  <si>
    <t>Validity of Brief Alcohol Screening Tests Among Adolescents: A Comparison of the AUDIT, POSIT, CAGE, and CRAFFT - Knight - 2003 - Alcoholism: Clinical and Experimental Research - Wiley Online Library</t>
  </si>
  <si>
    <t>Nduna, M., et al., Prevalence and factors associated with depressive symptoms among young women and men in the Eastern Cape Province, South Africa. Journal of child and adolescent mental health, 2013. 25(1): p. 43-54.</t>
  </si>
  <si>
    <t>Nduna et al., 2013</t>
  </si>
  <si>
    <t>EC</t>
  </si>
  <si>
    <t>15 - 26</t>
  </si>
  <si>
    <t xml:space="preserve">Centre for Epidemiological Studies on  Depression Scale-20 (CES-20D)  </t>
  </si>
  <si>
    <t>CESD Scale   ≥ 16</t>
  </si>
  <si>
    <t>(15,1% - 19,0%)</t>
  </si>
  <si>
    <t>Nöthling, J., et al., Trauma type as a conditional risk factor for posttraumatic stress disorder in a referred clinic sample of adolescents. Comprehensive psychiatry, 2017. 76: p. 138-146.</t>
  </si>
  <si>
    <t>Nöthling et al., 2017</t>
  </si>
  <si>
    <t>12 - 18</t>
  </si>
  <si>
    <t>Kiddie Schedule for Affective Disorders and Schizophrenia-Present and Lifetime version (K-SADS-PL) - Traumatic events subscale under PTSD</t>
  </si>
  <si>
    <t>DSM-IV criteria</t>
  </si>
  <si>
    <t>(41,4% - 54,8%)</t>
  </si>
  <si>
    <t>Nöthling, J., et al., Differences in Abuse, Neglect, and Exposure to Community Violence in Adolescents With and Without PTSD and Depression. Journal of interpersonal violence, 2019. 34(21): p. 4357-4383.</t>
  </si>
  <si>
    <t>Nöthling et al., 2019</t>
  </si>
  <si>
    <t xml:space="preserve">Kiddie Schedule for Affective Disorders and Schizophrenia (K-SADS-PL) - Depression </t>
  </si>
  <si>
    <t>DSM IV criteria</t>
  </si>
  <si>
    <t>(27,6% - 40,3%)</t>
  </si>
  <si>
    <t xml:space="preserve">Child PTSD Checklist </t>
  </si>
  <si>
    <t>Diagnostic criteria in DSM-5</t>
  </si>
  <si>
    <t>(42,6% - 56,0%)</t>
  </si>
  <si>
    <t>Pengpid, S. and K. Peltzer, Problem drinking among a cross-sectional national sample of adolescents in South Africa: Prevalence and associated factors. Journal of Psychology in Africa, 2021. 31(5): p. 533-538.</t>
  </si>
  <si>
    <t>Pengpid &amp; Peltzer, 2021</t>
  </si>
  <si>
    <t>AUDIT-C</t>
  </si>
  <si>
    <t>AUDIT-C scores  ≥ 3</t>
  </si>
  <si>
    <t>(10,6% -13,3%)</t>
  </si>
  <si>
    <t>AUDIT and AUDIT-C as screening instruments for alcohol problem use in adolescents - ScienceDirect</t>
  </si>
  <si>
    <t>Ranjit, K., et al., Screen Time and Mental Health Among Adolescents: Implications of the Rise in Digital Environment in South Africa. The Journal of nervous and mental disease, 2022. 210(6): p. 454-461.</t>
  </si>
  <si>
    <t>Ranjit et al., 2022</t>
  </si>
  <si>
    <t>Self-report &amp; Observation</t>
  </si>
  <si>
    <t>Emotional and behavioural difficulties</t>
  </si>
  <si>
    <t>Strengths and Difficulties Questionnaire (SDQ)</t>
  </si>
  <si>
    <t>(9,4% - 19,5%)</t>
  </si>
  <si>
    <t>xxx</t>
  </si>
  <si>
    <t xml:space="preserve"> Strengths and Difficulties Questionnaire (SDQ)</t>
  </si>
  <si>
    <t>(12,9% - 24,1%)</t>
  </si>
  <si>
    <t xml:space="preserve">ADHD </t>
  </si>
  <si>
    <t>(10,4% - 20,8%)</t>
  </si>
  <si>
    <t>Emotional  problems</t>
  </si>
  <si>
    <t>(9,6% - 19,8%)</t>
  </si>
  <si>
    <t>Patient Health Questionnaire-9 Adolescent version (PHQ-9A)</t>
  </si>
  <si>
    <t>PHQ-9 score ≥15</t>
  </si>
  <si>
    <t>(7,0% - 16,5%)</t>
  </si>
  <si>
    <t>Translation, cultural adaptation and validation of Patient Health Questionnaire and generalized anxiety disorder among adolescents in Nepal | Child and Adolescent Psychiatry and Mental Health</t>
  </si>
  <si>
    <t>Robertson, B.A., et al., Prevalence and detection of psychiatric disorders among children and adolescents attending a primary health care clinic. Southern African Journal of Child and Adolescent Mental Health, 2001. 13(1): p. 30-40.+A4:L9</t>
  </si>
  <si>
    <t>Robertson et al., 2001</t>
  </si>
  <si>
    <t>Tic Disorder</t>
  </si>
  <si>
    <t xml:space="preserve">Diagnosis </t>
  </si>
  <si>
    <t>National Institute of Mental Health's Diagnostic Interview Schedule for Children Version 2.3</t>
  </si>
  <si>
    <t xml:space="preserve">DSM III criteria </t>
  </si>
  <si>
    <t>(0,0% - 1,6%)</t>
  </si>
  <si>
    <t>Eating  Disorder</t>
  </si>
  <si>
    <t>(11,7% - 19,6%)</t>
  </si>
  <si>
    <t>(0,0% - 1,0%)</t>
  </si>
  <si>
    <t>(0,2% - 1,0%)</t>
  </si>
  <si>
    <t>(4,3% - 10,7%)</t>
  </si>
  <si>
    <t>Enuresis (Nocturnal)</t>
  </si>
  <si>
    <t>(5,2% - 11,1%)</t>
  </si>
  <si>
    <t>Rochat, T. J., Houle, B., Stein, A., Pearson, R. M., &amp; Bland, R. M. (2018). Prevalence and risk factors for child mental disorders in a population-based cohort of HIV-exposed and unexposed African children aged 7-11 years. European child &amp; adolescent psychiatry, 27(12), 1607–1620. https://doi.org/10.1007/s00787-018-1146-8</t>
  </si>
  <si>
    <t>Rochat et al., 2018</t>
  </si>
  <si>
    <t>7 - 11</t>
  </si>
  <si>
    <t>Child Behaviour Checklist  (CBCL)</t>
  </si>
  <si>
    <t xml:space="preserve">CBCL score  ≥ 65 </t>
  </si>
  <si>
    <t>(3,9% - 6,1%)</t>
  </si>
  <si>
    <t xml:space="preserve">  ≥ 65 of the normed score.</t>
  </si>
  <si>
    <t>(4,2% - 6,5%)</t>
  </si>
  <si>
    <t xml:space="preserve"> ≥ 65 of the normed score.</t>
  </si>
  <si>
    <t>(3,4% - 5,5%)</t>
  </si>
  <si>
    <t>Somatic Disorder</t>
  </si>
  <si>
    <t>(8,6% - 11,6%)</t>
  </si>
  <si>
    <t>Disruptive Behaviour  Di-sorder (CD)</t>
  </si>
  <si>
    <t>(10,2% - 13,5%)</t>
  </si>
  <si>
    <t>Disruptive Behaviour  Di-sorder (ODD)</t>
  </si>
  <si>
    <t>(4,6% - 7,0%)</t>
  </si>
  <si>
    <t>Seedat, S., et al., School survey of exposure to violence and posttraumatic stress symptoms in adolescents. Southern African Journal of Child and Adolescent Mental Health, 2000. 12(1): p. 38-44</t>
  </si>
  <si>
    <t>Seedat et al., 2000</t>
  </si>
  <si>
    <t>PTSD Checklist (28-item structured interview developed to diagnose childhood and adolescnet PTSD)</t>
  </si>
  <si>
    <t>DSM IV criteira</t>
  </si>
  <si>
    <t>(8,5% - 15,8%)</t>
  </si>
  <si>
    <t>Seedat, S., et al., Trauma exposure and post-traumatic stress symptoms in urban African schools. Survey in CapeTown and Nairobi. The British journal of psychiatry : the journal of mental science, 2004. 184: p. 169-75.</t>
  </si>
  <si>
    <t>Seedat et al., 2004</t>
  </si>
  <si>
    <t>Child PTSD Checklist</t>
  </si>
  <si>
    <t>DSM IV diagnostic criteria</t>
  </si>
  <si>
    <t>(19,5% - 24,5%)</t>
  </si>
  <si>
    <t>Strydom, M.A.A., P.J. Pretorius, and G. Joubert, Depression and anxiety among Grade 11 and 12 learners attending schools in central Bloemfontein. SOUTH AFRICAN JOURNAL OF PSYCHIATRY, 2012. 18(3): p. 84-88.</t>
  </si>
  <si>
    <t>Strydom et al., 2012</t>
  </si>
  <si>
    <t>16 - 18</t>
  </si>
  <si>
    <t>The Hospital Anxiety and  Depression Scale (HADS)</t>
  </si>
  <si>
    <t>HADS score of ≥ 11 on depression sub-sclae</t>
  </si>
  <si>
    <t>(16,3% - 23,1%)</t>
  </si>
  <si>
    <t>Validation of the Hospital Anxiety and Depression Scale for use with adolescents | The British Journal of Psychiatry | Cambridge Core</t>
  </si>
  <si>
    <t>HADS score of ≥ 11 on anxiety sub-scale</t>
  </si>
  <si>
    <t>(57,0% - 65,4%)</t>
  </si>
  <si>
    <t>Swain, K.D., B.J. Pillay, and W. Kliewer, Traumatic stress and psychological functioning in a South African adolescent community sample. The South African journal of psychiatry : SAJP : the journal of the Society of Psychiatrists of South Africa, 2017. 23: p. 1008.</t>
  </si>
  <si>
    <t>Swain et al., 2017</t>
  </si>
  <si>
    <t>9 - 18</t>
  </si>
  <si>
    <t>Trauma Symptom Checklist for Children</t>
  </si>
  <si>
    <t>t-score of ≥ 60 on the PTSD  sub-scale of the TSCC</t>
  </si>
  <si>
    <t>(1,9% - 6,2%)</t>
  </si>
  <si>
    <t>Sorsdahl, K., Davies, T., Jensel, C., Oberholzer, D., Gelberg, L., &amp; van der Westhuizen, C. (2024). Experiences and Perceived Benefits of a Youth Skateboarding Program in South Africa: From the Physical to Emotional and Beyond. Journal of Adolescent Research, 39(3), 770-795. https://doi.org/10.1177/07435584211052983</t>
  </si>
  <si>
    <t>Sorsdahl et al., 2024</t>
  </si>
  <si>
    <t>10 - 19</t>
  </si>
  <si>
    <t>The 10-item Centre for Epidemiological Studies Depression
scale (CESD-10)</t>
  </si>
  <si>
    <t>(35,8% - 58,2%)</t>
  </si>
  <si>
    <t>(17,58% - 37,69%)</t>
  </si>
  <si>
    <t xml:space="preserve">Table S4: Number of studies and pooled sample size by province relative to the size of the population of children (&lt;18 years) in each province </t>
  </si>
  <si>
    <t>Number of studies</t>
  </si>
  <si>
    <t>Sample size</t>
  </si>
  <si>
    <t xml:space="preserve">Approx. proportion of population resident in the province </t>
  </si>
  <si>
    <t>N</t>
  </si>
  <si>
    <t>% of total pooled sample</t>
  </si>
  <si>
    <t>Western Cape</t>
  </si>
  <si>
    <t>KwaZulu-Natal</t>
  </si>
  <si>
    <t>Gauteng</t>
  </si>
  <si>
    <t>Free State</t>
  </si>
  <si>
    <t>Mpumalanga</t>
  </si>
  <si>
    <t>Limpopo</t>
  </si>
  <si>
    <t>Eastern Cape</t>
  </si>
  <si>
    <t>Northern Cape</t>
  </si>
  <si>
    <t>North West</t>
  </si>
  <si>
    <t xml:space="preserve">Table S3: Full details of all studies reporting suicidal thoughts and behaviours </t>
  </si>
  <si>
    <t>Details of publication</t>
  </si>
  <si>
    <t>Citations</t>
  </si>
  <si>
    <t>Year of publication</t>
  </si>
  <si>
    <t xml:space="preserve">Geogrpahic location of data collection </t>
  </si>
  <si>
    <t xml:space="preserve">Study design </t>
  </si>
  <si>
    <t>Sampeling strategy</t>
  </si>
  <si>
    <t xml:space="preserve">Year of data collection </t>
  </si>
  <si>
    <t>Sample Size</t>
  </si>
  <si>
    <t>Mean age of sample (years)</t>
  </si>
  <si>
    <t xml:space="preserve">Age range </t>
  </si>
  <si>
    <t xml:space="preserve">Proportion of females  in sample </t>
  </si>
  <si>
    <t xml:space="preserve">Outcome </t>
  </si>
  <si>
    <t xml:space="preserve">Instrument </t>
  </si>
  <si>
    <t>Critieria</t>
  </si>
  <si>
    <t>Duration  of symptoms</t>
  </si>
  <si>
    <t>Prevalence estimate (%)</t>
  </si>
  <si>
    <t>(95% CI )</t>
  </si>
  <si>
    <t>Overall Appraisal</t>
  </si>
  <si>
    <t>Burrows, S. and L. Laflamme, Suicide among urban South African adolescents. International journal of adolescent medicine and health, 2008. 20(4): p. 519-28.</t>
  </si>
  <si>
    <t>Burrows &amp; Laflamme, 2008</t>
  </si>
  <si>
    <t>Registers</t>
  </si>
  <si>
    <t xml:space="preserve">National </t>
  </si>
  <si>
    <t>(10 - 19)</t>
  </si>
  <si>
    <t xml:space="preserve">Completed suicide </t>
  </si>
  <si>
    <t>Based on decisions made by medical practitioners performing autopsies</t>
  </si>
  <si>
    <t>(0,4% - 0,5%)</t>
  </si>
  <si>
    <t>Baseline: Cluver, L., et al., Child and Adolescent Suicide Attempts, Suicidal Behavior, and Adverse Childhood Experiences in South Africa: A Prospective Study. The Journal of adolescent health : official publication of the Society for Adolescent Medicine, 2015. 57(1): p. 52-9.</t>
  </si>
  <si>
    <t>Cluver et al., 2015</t>
  </si>
  <si>
    <t xml:space="preserve">Survey (community based) </t>
  </si>
  <si>
    <t xml:space="preserve">Self-report data </t>
  </si>
  <si>
    <t>MP + WC</t>
  </si>
  <si>
    <t xml:space="preserve">Probability </t>
  </si>
  <si>
    <t>(10 - 18)</t>
  </si>
  <si>
    <t xml:space="preserve">Suicide ideation </t>
  </si>
  <si>
    <t>MINI International  Psychiatric Interview for children and adolescents suicidality  scale</t>
  </si>
  <si>
    <t>Suicidal behavior was measured with the MINI International  Psychiatric Interview for children and adolescents suicidality scale. measuring self-harming desire, suicidal  thoughts, ideation, planning, and attempts.</t>
  </si>
  <si>
    <t>(6,2% - 7,9%)</t>
  </si>
  <si>
    <t>Suicide Plan</t>
  </si>
  <si>
    <t>(4,3% - 5,8%)</t>
  </si>
  <si>
    <t>Suicide Attempt</t>
  </si>
  <si>
    <t>(2,8% - 4%)</t>
  </si>
  <si>
    <t>(6,4% - 8,1%)</t>
  </si>
  <si>
    <t>(2,7% - 3,9%)</t>
  </si>
  <si>
    <t>(4,2% - 5,6%)</t>
  </si>
  <si>
    <t>Khuzwayo, N., M. Taylor, and C. Connolly, High risk of suicide among high-school learners in uMgungundlovu District, KwaZulu-Natal Province, South Africa. South African medical journal = Suid-Afrikaanse tydskrif vir geneeskunde, 2018. 108(6): p. 517-523.</t>
  </si>
  <si>
    <t>Khuzwayo et al., 2018</t>
  </si>
  <si>
    <t xml:space="preserve"> Survey (school based)</t>
  </si>
  <si>
    <t>(13 - 23)</t>
  </si>
  <si>
    <t>CDC Youth Risk Behavior Surveillance System</t>
  </si>
  <si>
    <t>1-year</t>
  </si>
  <si>
    <t>ND</t>
  </si>
  <si>
    <t>Mashego, T.A.B. and S.N. Madu, Suicide-related behaviours among secondary school adolescents in the Welkom and Bethlehem areas of the Free State province (South Africa). South African Journal of Psychology, 2009. 39(4): p. 489-497</t>
  </si>
  <si>
    <t>Mashego &amp; Madu, 2009</t>
  </si>
  <si>
    <t>(12 - 19)</t>
  </si>
  <si>
    <t>Suicidal Behaviour Questionnaire</t>
  </si>
  <si>
    <t>Extreme (pervasive/persistent) cases, i.e. ever had any suicidal ideation at least "almost every day"?</t>
  </si>
  <si>
    <t>(6,7% - 17,3%)</t>
  </si>
  <si>
    <t>(3,3% - 12,1%)</t>
  </si>
  <si>
    <t>(0,9% - 7,5%)</t>
  </si>
  <si>
    <t>LIfetime</t>
  </si>
  <si>
    <t>(11,9% - 24,7%)</t>
  </si>
  <si>
    <t xml:space="preserve">Lifetime </t>
  </si>
  <si>
    <t>(9% - 20,6%)</t>
  </si>
  <si>
    <t>(14 - 24)</t>
  </si>
  <si>
    <t>Brief Symptom Inventory</t>
  </si>
  <si>
    <t>The study BSI subscales to assess suicide cases. The following question is asked in relation to a list   of specific problems related to suicide: 'How much has that problem   distressed or bothered you during the past 7 days including today?'   The response options range from 0 (has bothered me not at all)   to 4 (has bothered me extremely). A t-score of ≥63 on any BSI   dimension indicates high psychosocial distress and a need for further   psychological evaluation (caseness).</t>
  </si>
  <si>
    <t>1 week</t>
  </si>
  <si>
    <t>(2,2% - 2,6%)</t>
  </si>
  <si>
    <t>Naidoo, S., The prevalence, nature, and functions of non-suicidal self-injury (NSSI) in a South African student sample. SOUTH AFRICAN JOURNAL OF EDUCATION, 2019. 39(3).</t>
  </si>
  <si>
    <t>Naidoo, 2019</t>
  </si>
  <si>
    <t>(13 - 24)</t>
  </si>
  <si>
    <t>Self-harm</t>
  </si>
  <si>
    <t>Inventory of Statements about Self-Harm (ISAS)</t>
  </si>
  <si>
    <t xml:space="preserve">Please only endorse a behavior if you have done it intentionally (i.e., on purpose) and without suicidal intent (i.e., not for suicidal reasons).   </t>
  </si>
  <si>
    <t>(52,3% - 60%)</t>
  </si>
  <si>
    <t>Orri, M., et al., Childhood factors associated with suicidal ideation among South African youth: A 28-year longitudinal study of the Birth to Twenty Plus cohort. PLoS medicine, 2022. 19(3): p. e1003946.</t>
  </si>
  <si>
    <t>Orri et al., 2022</t>
  </si>
  <si>
    <t>(14 - 14)</t>
  </si>
  <si>
    <t>Youth Self Report questionnaire.</t>
  </si>
  <si>
    <t xml:space="preserve"> "I think about killing myself" from the Youth Self Report questionnaire. Response Scale: Participants responded on a 4-point scale:  Not 1  Sometimes 1  1  Very 1).</t>
  </si>
  <si>
    <t>(6,3% - 9,3%)</t>
  </si>
  <si>
    <t>(17 - 17)</t>
  </si>
  <si>
    <t>General Health Questionnaire</t>
  </si>
  <si>
    <t>"Have you recently found that the ideas of taking your own life kept coming into your mind?" from the General Health Questionnaire.Response Scale: Participants responded on a 4-point scale:  Definitely not  I don't think so  Has crossed my mind  Definitely yes</t>
  </si>
  <si>
    <t>(13,3% - 16,9%)</t>
  </si>
  <si>
    <t>Peltzer, K., Cherian, V. I., &amp; Cherian, L. (2000). Cross-cultural attitudes towards suicide among South African secondary school pupils. East African medical journal, 77(3), 165–167. https://doi.org/10.4314/eamj.v77i3.46615</t>
  </si>
  <si>
    <t>Peltzer et al., 2000</t>
  </si>
  <si>
    <t>Limpopo Province</t>
  </si>
  <si>
    <t>17 - 24</t>
  </si>
  <si>
    <t>Suicide ideation</t>
  </si>
  <si>
    <t>Have you thought about
suicide or killing yourself?</t>
  </si>
  <si>
    <t>(24,4% - 33,7%)</t>
  </si>
  <si>
    <t>Suicide intent</t>
  </si>
  <si>
    <t>Were there times when you intended to commit suicide?</t>
  </si>
  <si>
    <t>(15,4% - 23,5%)</t>
  </si>
  <si>
    <t>Suicide attempt</t>
  </si>
  <si>
    <t>Have you actually tried to commit suicide?</t>
  </si>
  <si>
    <t>(8,9% - 15,7%)</t>
  </si>
  <si>
    <t>Reddy SP, Panday S, Swart D, Junabhai CC, Amosun SL, James S, Monyeki KD, Stevens G, Morejele N, Kambaran NS, Omardien RG, den Borne V: Umthenthe Uhlaba Usamila-The South African national youth risk behaviour survey 2002. Cape Town: South African Medical Research Council; 2003.</t>
  </si>
  <si>
    <t>Reddy et al., 2003</t>
  </si>
  <si>
    <t>Survey (schools-based)</t>
  </si>
  <si>
    <t>(13-19 )</t>
  </si>
  <si>
    <t>South African Youth Risk Behaviour Survey</t>
  </si>
  <si>
    <t>Responded 'Yes' to 'During the past 6 months, did you ever seriously consider commiting suicide?'.</t>
  </si>
  <si>
    <t>(16,8% - 21,1%)</t>
  </si>
  <si>
    <t>Responded 'Yes' to 'During the past 6 months, did you make a plan about how you would attempt suicide?'.</t>
  </si>
  <si>
    <t>(14,1% - 17,4%)</t>
  </si>
  <si>
    <t>Any response greater than 0 to 'During the past 6 months, how many times did you actually attempt suicide?'.</t>
  </si>
  <si>
    <t>(15,1% - 19,4%)</t>
  </si>
  <si>
    <t>Reddy SP, James S, Sewpaul R, Koopman F, Funani NI, Sifunda S, Josie J, Masuka P, Kambaran NS, Omardien RG: Umthente Uhlaba Usamila-The 2nd South African national youth risk behaviour survey 2008. Cape Town: South African Medical Research Council; 2010.</t>
  </si>
  <si>
    <t>Reddy et al., 2010</t>
  </si>
  <si>
    <t>(18,8% - 22,6%)</t>
  </si>
  <si>
    <t>(15,3% - 18,4%)</t>
  </si>
  <si>
    <t>(19,4% - 23,5%)</t>
  </si>
  <si>
    <t>Reddy, S.P., James, S., Sewpaul, R., Sifunda, S., Ellahebokus, A., Kambaran, N.S. &amp; Omardien, R.G. (2013) Umthente Uhlaba Usamila: the 3rd South African National Youth Risk Behaviour Survey 2011. Cape Town: South African Medical Research Council. http://hdl.handle.net/20.500.11910/2487 http://hdl.handle.net/20.500.11910/2487</t>
  </si>
  <si>
    <t>Reddy et al., 2013</t>
  </si>
  <si>
    <t>(16,5% - 18,8%)</t>
  </si>
  <si>
    <t>(14,7% - 16,6%)</t>
  </si>
  <si>
    <t>(16,3% - 19,3%)</t>
  </si>
  <si>
    <t>Table S5:  Univariate meta-regression mental disorders</t>
  </si>
  <si>
    <t>Depressive disorders (k=15)</t>
  </si>
  <si>
    <t>PTSD (k=9)</t>
  </si>
  <si>
    <t>Anxiety (k=8)</t>
  </si>
  <si>
    <t>Disruptive behaviour disorders (k = 6)</t>
  </si>
  <si>
    <t>Est.</t>
  </si>
  <si>
    <t>CI.lb</t>
  </si>
  <si>
    <t>CI.ub</t>
  </si>
  <si>
    <t>p</t>
  </si>
  <si>
    <t>Data Source</t>
  </si>
  <si>
    <t>Survey (school-based) vs Community based)</t>
  </si>
  <si>
    <t>How were data collected?</t>
  </si>
  <si>
    <t>Observation</t>
  </si>
  <si>
    <t>SelfReport</t>
  </si>
  <si>
    <t>Year of Publication</t>
  </si>
  <si>
    <t>Year</t>
  </si>
  <si>
    <t>What provinces were data collected?</t>
  </si>
  <si>
    <t>Longitudinal vs Cross-sectional</t>
  </si>
  <si>
    <t xml:space="preserve">Sampling Procedure </t>
  </si>
  <si>
    <t>Probability vs Convinience</t>
  </si>
  <si>
    <t>Age</t>
  </si>
  <si>
    <t>Age (mean)</t>
  </si>
  <si>
    <t>Gender composition</t>
  </si>
  <si>
    <t>Proportion of females</t>
  </si>
  <si>
    <t xml:space="preserve">How was Dx determined? </t>
  </si>
  <si>
    <t>Symptom severity vs Diagnostic criteria</t>
  </si>
  <si>
    <t>Symptom duration  / recall period</t>
  </si>
  <si>
    <t>Table S6: Multivariate meta regression mental disorders</t>
  </si>
  <si>
    <t>Symptom duration / recall period</t>
  </si>
  <si>
    <t>Table S7: Uivariate Meta Regression for suicidal ideation and behaviours</t>
  </si>
  <si>
    <t>Suicidal ideation (k=10)</t>
  </si>
  <si>
    <t>Suicide plan (k=8)</t>
  </si>
  <si>
    <t>Suicide attempt (k=9)</t>
  </si>
  <si>
    <t>GAUT</t>
  </si>
  <si>
    <t>Table S8: Suicide Ideation Multivariate Meta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</si>
</sst>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0.000"/>
    <numFmt numFmtId="166" formatCode="0.0%"/>
    <numFmt numFmtId="167" formatCode="0.0000"/>
  </numFmts>
  <fonts count="21">
    <font>
      <sz val="11"/>
      <color theme="1"/>
      <name val="Aptos Narrow"/>
      <family val="2"/>
      <scheme val="minor"/>
    </font>
    <font>
      <b/>
      <sz val="11"/>
      <color theme="1"/>
      <name val="Arial"/>
      <family val="2"/>
    </font>
    <font>
      <sz val="11"/>
      <color theme="1"/>
      <name val="Arial"/>
      <family val="2"/>
    </font>
    <font>
      <sz val="11"/>
      <color rgb="FF333333"/>
      <name val="Arial"/>
      <family val="2"/>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ptos"/>
      <family val="2"/>
    </font>
    <font>
      <sz val="11"/>
      <color rgb="FF000000"/>
      <name val="Aptos Narrow"/>
      <family val="2"/>
    </font>
    <font>
      <sz val="11"/>
      <name val="Aptos Narrow"/>
      <family val="2"/>
      <scheme val="minor"/>
    </font>
    <font>
      <b/>
      <sz val="11"/>
      <color theme="1"/>
      <name val="Aptos"/>
      <family val="2"/>
    </font>
    <font>
      <sz val="12"/>
      <color rgb="FF212121"/>
      <name val="Aptos Narrow"/>
      <family val="2"/>
      <scheme val="minor"/>
    </font>
    <font>
      <sz val="11"/>
      <color rgb="FF000000"/>
      <name val="Aptos Narrow"/>
      <family val="2"/>
      <scheme val="minor"/>
    </font>
    <font>
      <i/>
      <sz val="11"/>
      <color theme="1"/>
      <name val="Aptos Narrow"/>
      <family val="2"/>
      <scheme val="minor"/>
    </font>
    <font>
      <u/>
      <sz val="11"/>
      <color theme="10"/>
      <name val="Aptos Narrow"/>
      <family val="2"/>
      <scheme val="minor"/>
    </font>
    <font>
      <sz val="11"/>
      <color rgb="FF222222"/>
      <name val="Arial"/>
      <family val="2"/>
    </font>
    <font>
      <sz val="11"/>
      <color rgb="FF212121"/>
      <name val="Aptos Narrow"/>
      <family val="2"/>
      <scheme val="minor"/>
    </font>
    <font>
      <sz val="8"/>
      <name val="Aptos Narrow"/>
      <family val="2"/>
      <scheme val="minor"/>
    </font>
    <font>
      <sz val="11"/>
      <color rgb="FF9C0006"/>
      <name val="Aptos Narrow"/>
      <family val="2"/>
      <scheme val="minor"/>
    </font>
    <font>
      <b/>
      <sz val="11"/>
      <color rgb="FFFF0000"/>
      <name val="Aptos Narrow"/>
      <family val="2"/>
      <scheme val="minor"/>
    </font>
    <font>
      <sz val="11"/>
      <color rgb="FFFF0000"/>
      <name val="Arial"/>
      <family val="2"/>
    </font>
  </fonts>
  <fills count="11">
    <fill>
      <patternFill patternType="none"/>
    </fill>
    <fill>
      <patternFill patternType="gray125"/>
    </fill>
    <fill>
      <patternFill patternType="solid">
        <fgColor rgb="FFFFFFFF"/>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C7CE"/>
      </patternFill>
    </fill>
  </fills>
  <borders count="70">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thick">
        <color auto="1"/>
      </bottom>
      <diagonal/>
    </border>
    <border>
      <left/>
      <right/>
      <top style="thick">
        <color auto="1"/>
      </top>
      <bottom/>
      <diagonal/>
    </border>
    <border>
      <left/>
      <right/>
      <top style="thick">
        <color auto="1"/>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bottom/>
      <diagonal/>
    </border>
    <border>
      <left style="thick">
        <color auto="1"/>
      </left>
      <right/>
      <top/>
      <bottom/>
      <diagonal/>
    </border>
    <border>
      <left/>
      <right style="thick">
        <color auto="1"/>
      </right>
      <top style="thick">
        <color auto="1"/>
      </top>
      <bottom/>
      <diagonal/>
    </border>
    <border>
      <left style="medium">
        <color auto="1"/>
      </left>
      <right/>
      <top style="thick">
        <color auto="1"/>
      </top>
      <bottom/>
      <diagonal/>
    </border>
    <border>
      <left style="thick">
        <color auto="1"/>
      </left>
      <right/>
      <top style="thick">
        <color auto="1"/>
      </top>
      <bottom/>
      <diagonal/>
    </border>
    <border>
      <left style="medium">
        <color auto="1"/>
      </left>
      <right/>
      <top/>
      <bottom/>
      <diagonal/>
    </border>
    <border>
      <left/>
      <right/>
      <top style="double">
        <color auto="1"/>
      </top>
      <bottom/>
      <diagonal/>
    </border>
    <border>
      <left style="thick">
        <color auto="1"/>
      </left>
      <right/>
      <top/>
      <bottom style="thick">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ck">
        <color auto="1"/>
      </top>
      <bottom style="thick">
        <color auto="1"/>
      </bottom>
      <diagonal/>
    </border>
    <border>
      <left/>
      <right style="medium">
        <color indexed="64"/>
      </right>
      <top/>
      <bottom/>
      <diagonal/>
    </border>
    <border>
      <left style="medium">
        <color indexed="64"/>
      </left>
      <right/>
      <top/>
      <bottom style="thick">
        <color auto="1"/>
      </bottom>
      <diagonal/>
    </border>
    <border>
      <left/>
      <right style="medium">
        <color indexed="64"/>
      </right>
      <top/>
      <bottom style="thick">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right style="medium">
        <color indexed="64"/>
      </right>
      <top style="thick">
        <color indexed="64"/>
      </top>
      <bottom/>
      <diagonal/>
    </border>
    <border>
      <left style="thin">
        <color indexed="64"/>
      </left>
      <right/>
      <top style="medium">
        <color indexed="64"/>
      </top>
      <bottom/>
      <diagonal/>
    </border>
    <border>
      <left/>
      <right style="medium">
        <color indexed="64"/>
      </right>
      <top style="thick">
        <color auto="1"/>
      </top>
      <bottom style="thick">
        <color auto="1"/>
      </bottom>
      <diagonal/>
    </border>
    <border>
      <left/>
      <right style="thick">
        <color auto="1"/>
      </right>
      <top style="medium">
        <color indexed="64"/>
      </top>
      <bottom style="medium">
        <color indexed="64"/>
      </bottom>
      <diagonal/>
    </border>
    <border>
      <left/>
      <right style="thick">
        <color auto="1"/>
      </right>
      <top/>
      <bottom style="thick">
        <color auto="1"/>
      </bottom>
      <diagonal/>
    </border>
    <border>
      <left/>
      <right style="thick">
        <color auto="1"/>
      </right>
      <top style="thick">
        <color auto="1"/>
      </top>
      <bottom style="thick">
        <color auto="1"/>
      </bottom>
      <diagonal/>
    </border>
    <border>
      <left/>
      <right style="thick">
        <color auto="1"/>
      </right>
      <top style="medium">
        <color indexed="64"/>
      </top>
      <bottom/>
      <diagonal/>
    </border>
    <border>
      <left/>
      <right style="thick">
        <color auto="1"/>
      </right>
      <top/>
      <bottom style="medium">
        <color indexed="64"/>
      </bottom>
      <diagonal/>
    </border>
    <border>
      <left style="thin">
        <color indexed="64"/>
      </left>
      <right/>
      <top/>
      <bottom/>
      <diagonal/>
    </border>
    <border>
      <left/>
      <right style="medium">
        <color rgb="FFD5D5D5"/>
      </right>
      <top style="medium">
        <color rgb="FFD5D5D5"/>
      </top>
      <bottom/>
      <diagonal/>
    </border>
    <border>
      <left style="medium">
        <color indexed="64"/>
      </left>
      <right/>
      <top style="medium">
        <color rgb="FFD5D5D5"/>
      </top>
      <bottom style="medium">
        <color indexed="64"/>
      </bottom>
      <diagonal/>
    </border>
    <border>
      <left/>
      <right style="medium">
        <color rgb="FFD5D5D5"/>
      </right>
      <top style="medium">
        <color rgb="FFD5D5D5"/>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ck">
        <color auto="1"/>
      </top>
      <bottom style="thick">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ck">
        <color indexed="64"/>
      </bottom>
      <diagonal/>
    </border>
    <border>
      <left style="medium">
        <color indexed="64"/>
      </left>
      <right style="medium">
        <color indexed="64"/>
      </right>
      <top/>
      <bottom/>
      <diagonal/>
    </border>
    <border>
      <left style="medium">
        <color indexed="64"/>
      </left>
      <right style="medium">
        <color indexed="64"/>
      </right>
      <top style="thick">
        <color auto="1"/>
      </top>
      <bottom/>
      <diagonal/>
    </border>
    <border>
      <left style="medium">
        <color indexed="64"/>
      </left>
      <right style="medium">
        <color indexed="64"/>
      </right>
      <top/>
      <bottom style="thick">
        <color auto="1"/>
      </bottom>
      <diagonal/>
    </border>
    <border>
      <left style="medium">
        <color indexed="64"/>
      </left>
      <right style="medium">
        <color indexed="64"/>
      </right>
      <top style="medium">
        <color indexed="64"/>
      </top>
      <bottom/>
      <diagonal/>
    </border>
    <border>
      <left style="medium">
        <color indexed="64"/>
      </left>
      <right/>
      <top style="medium">
        <color rgb="FFD5D5D5"/>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auto="1"/>
      </left>
      <right style="thick">
        <color auto="1"/>
      </right>
      <top style="thick">
        <color auto="1"/>
      </top>
      <bottom/>
      <diagonal/>
    </border>
    <border>
      <left style="medium">
        <color indexed="64"/>
      </left>
      <right/>
      <top style="medium">
        <color rgb="FF000000"/>
      </top>
      <bottom style="thick">
        <color indexed="64"/>
      </bottom>
      <diagonal/>
    </border>
    <border>
      <left/>
      <right/>
      <top style="medium">
        <color rgb="FF000000"/>
      </top>
      <bottom style="thick">
        <color indexed="64"/>
      </bottom>
      <diagonal/>
    </border>
    <border>
      <left/>
      <right style="medium">
        <color indexed="64"/>
      </right>
      <top style="medium">
        <color rgb="FF000000"/>
      </top>
      <bottom style="thick">
        <color indexed="64"/>
      </bottom>
      <diagonal/>
    </border>
    <border>
      <left style="medium">
        <color indexed="64"/>
      </left>
      <right style="medium">
        <color indexed="64"/>
      </right>
      <top style="medium">
        <color rgb="FF000000"/>
      </top>
      <bottom style="thick">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thick">
        <color auto="1"/>
      </right>
      <top style="medium">
        <color rgb="FF000000"/>
      </top>
      <bottom style="medium">
        <color indexed="64"/>
      </bottom>
      <diagonal/>
    </border>
  </borders>
  <cellStyleXfs count="5">
    <xf numFmtId="0" fontId="0" fillId="0" borderId="0"/>
    <xf numFmtId="44" fontId="4" fillId="0" borderId="0" applyFont="0" applyFill="0" applyBorder="0" applyAlignment="0" applyProtection="0"/>
    <xf numFmtId="9" fontId="4" fillId="0" borderId="0" applyFont="0" applyFill="0" applyBorder="0" applyAlignment="0" applyProtection="0"/>
    <xf numFmtId="0" fontId="14" fillId="0" borderId="0" applyNumberFormat="0" applyFill="0" applyBorder="0" applyAlignment="0" applyProtection="0"/>
    <xf numFmtId="0" fontId="18" fillId="10" borderId="0" applyNumberFormat="0" applyBorder="0" applyAlignment="0" applyProtection="0"/>
  </cellStyleXfs>
  <cellXfs count="384">
    <xf numFmtId="0" fontId="0" fillId="0" borderId="0" xfId="0"/>
    <xf numFmtId="0" fontId="1" fillId="0" borderId="0" xfId="0" applyFont="1" applyAlignment="1">
      <alignment horizontal="justify" vertical="center"/>
    </xf>
    <xf numFmtId="0" fontId="3" fillId="2" borderId="1" xfId="0" applyFont="1" applyFill="1" applyBorder="1" applyAlignment="1">
      <alignment horizontal="justify" vertical="center" wrapText="1"/>
    </xf>
    <xf numFmtId="0" fontId="3" fillId="2" borderId="2" xfId="0" applyFont="1" applyFill="1" applyBorder="1" applyAlignment="1">
      <alignment horizontal="justify" vertical="center" wrapText="1"/>
    </xf>
    <xf numFmtId="0" fontId="3" fillId="2" borderId="3" xfId="0" applyFont="1" applyFill="1" applyBorder="1" applyAlignment="1">
      <alignment horizontal="justify" vertical="center" wrapText="1"/>
    </xf>
    <xf numFmtId="0" fontId="2" fillId="0" borderId="0" xfId="0" applyFont="1" applyAlignment="1">
      <alignment horizontal="justify" vertical="center"/>
    </xf>
    <xf numFmtId="0" fontId="7" fillId="0" borderId="0" xfId="0" applyFont="1" applyAlignment="1">
      <alignment vertical="center"/>
    </xf>
    <xf numFmtId="0" fontId="0" fillId="0" borderId="5" xfId="0" applyBorder="1"/>
    <xf numFmtId="0" fontId="0" fillId="0" borderId="5" xfId="0" applyBorder="1" applyAlignment="1">
      <alignment horizontal="center"/>
    </xf>
    <xf numFmtId="0" fontId="0" fillId="0" borderId="0" xfId="0" applyAlignment="1">
      <alignment horizontal="center"/>
    </xf>
    <xf numFmtId="0" fontId="6" fillId="0" borderId="0" xfId="0" applyFont="1" applyAlignment="1">
      <alignment horizontal="center"/>
    </xf>
    <xf numFmtId="0" fontId="0" fillId="0" borderId="9" xfId="0" applyBorder="1"/>
    <xf numFmtId="0" fontId="0" fillId="0" borderId="10" xfId="0" applyBorder="1" applyAlignment="1">
      <alignment horizontal="center"/>
    </xf>
    <xf numFmtId="165" fontId="0" fillId="0" borderId="11" xfId="0" applyNumberFormat="1" applyBorder="1" applyAlignment="1">
      <alignment horizontal="center"/>
    </xf>
    <xf numFmtId="0" fontId="0" fillId="0" borderId="12" xfId="0" applyBorder="1" applyAlignment="1">
      <alignment horizontal="center"/>
    </xf>
    <xf numFmtId="165" fontId="0" fillId="0" borderId="11" xfId="1" applyNumberFormat="1" applyFont="1" applyBorder="1" applyAlignment="1">
      <alignment horizontal="center"/>
    </xf>
    <xf numFmtId="0" fontId="0" fillId="0" borderId="13" xfId="0" applyBorder="1" applyAlignment="1">
      <alignment horizontal="center"/>
    </xf>
    <xf numFmtId="165" fontId="0" fillId="0" borderId="0" xfId="1" applyNumberFormat="1" applyFont="1" applyAlignment="1">
      <alignment horizontal="center"/>
    </xf>
    <xf numFmtId="165" fontId="0" fillId="0" borderId="9" xfId="0" applyNumberFormat="1" applyBorder="1" applyAlignment="1">
      <alignment horizontal="center"/>
    </xf>
    <xf numFmtId="0" fontId="0" fillId="0" borderId="14" xfId="0" applyBorder="1" applyAlignment="1">
      <alignment horizontal="center"/>
    </xf>
    <xf numFmtId="165" fontId="0" fillId="0" borderId="9" xfId="1" applyNumberFormat="1" applyFont="1" applyBorder="1" applyAlignment="1">
      <alignment horizontal="center"/>
    </xf>
    <xf numFmtId="2" fontId="0" fillId="0" borderId="10" xfId="0" applyNumberFormat="1" applyBorder="1" applyAlignment="1">
      <alignment horizontal="center"/>
    </xf>
    <xf numFmtId="2" fontId="0" fillId="0" borderId="0" xfId="0" applyNumberFormat="1" applyAlignment="1">
      <alignment horizontal="center"/>
    </xf>
    <xf numFmtId="2" fontId="0" fillId="0" borderId="14" xfId="0" applyNumberFormat="1" applyBorder="1" applyAlignment="1">
      <alignment horizontal="center"/>
    </xf>
    <xf numFmtId="2" fontId="5" fillId="0" borderId="10" xfId="0" applyNumberFormat="1" applyFont="1" applyBorder="1" applyAlignment="1">
      <alignment horizontal="center"/>
    </xf>
    <xf numFmtId="2" fontId="5" fillId="0" borderId="0" xfId="0" applyNumberFormat="1" applyFont="1" applyAlignment="1">
      <alignment horizontal="center"/>
    </xf>
    <xf numFmtId="165" fontId="5" fillId="0" borderId="9" xfId="0" applyNumberFormat="1" applyFont="1" applyBorder="1" applyAlignment="1">
      <alignment horizontal="center"/>
    </xf>
    <xf numFmtId="165" fontId="5" fillId="0" borderId="0" xfId="1" applyNumberFormat="1" applyFont="1" applyAlignment="1">
      <alignment horizontal="center"/>
    </xf>
    <xf numFmtId="2" fontId="6" fillId="0" borderId="14" xfId="0" applyNumberFormat="1" applyFont="1" applyBorder="1" applyAlignment="1">
      <alignment horizontal="center"/>
    </xf>
    <xf numFmtId="2" fontId="6" fillId="0" borderId="0" xfId="0" applyNumberFormat="1" applyFont="1" applyAlignment="1">
      <alignment horizontal="center"/>
    </xf>
    <xf numFmtId="165" fontId="6" fillId="0" borderId="9" xfId="1" applyNumberFormat="1" applyFont="1" applyBorder="1" applyAlignment="1">
      <alignment horizontal="center"/>
    </xf>
    <xf numFmtId="2" fontId="9" fillId="0" borderId="10" xfId="0" applyNumberFormat="1" applyFont="1" applyBorder="1" applyAlignment="1">
      <alignment horizontal="center"/>
    </xf>
    <xf numFmtId="2" fontId="9" fillId="0" borderId="0" xfId="0" applyNumberFormat="1" applyFont="1" applyAlignment="1">
      <alignment horizontal="center"/>
    </xf>
    <xf numFmtId="165" fontId="9" fillId="0" borderId="0" xfId="1" applyNumberFormat="1" applyFont="1" applyAlignment="1">
      <alignment horizontal="center"/>
    </xf>
    <xf numFmtId="165" fontId="0" fillId="0" borderId="0" xfId="0" applyNumberFormat="1" applyAlignment="1">
      <alignment horizontal="center"/>
    </xf>
    <xf numFmtId="165" fontId="0" fillId="0" borderId="5" xfId="0" applyNumberFormat="1" applyBorder="1" applyAlignment="1">
      <alignment horizontal="center"/>
    </xf>
    <xf numFmtId="165" fontId="0" fillId="0" borderId="5" xfId="1" applyNumberFormat="1" applyFont="1" applyBorder="1" applyAlignment="1">
      <alignment horizontal="center"/>
    </xf>
    <xf numFmtId="0" fontId="0" fillId="0" borderId="10" xfId="0" applyBorder="1"/>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6" xfId="0" applyBorder="1" applyAlignment="1">
      <alignment horizontal="left" vertical="top" wrapText="1"/>
    </xf>
    <xf numFmtId="0" fontId="0" fillId="0" borderId="0" xfId="0" applyAlignment="1">
      <alignment wrapText="1"/>
    </xf>
    <xf numFmtId="0" fontId="6" fillId="0" borderId="6" xfId="0" applyFont="1" applyBorder="1" applyAlignment="1">
      <alignment horizontal="left" vertical="top" wrapText="1"/>
    </xf>
    <xf numFmtId="0" fontId="0" fillId="0" borderId="10" xfId="0" applyBorder="1" applyAlignment="1">
      <alignment horizontal="left" vertical="top" wrapText="1"/>
    </xf>
    <xf numFmtId="0" fontId="6" fillId="0" borderId="0" xfId="0" applyFont="1"/>
    <xf numFmtId="0" fontId="0" fillId="3" borderId="5" xfId="0" applyFill="1" applyBorder="1" applyAlignment="1">
      <alignment horizontal="left" vertical="top" wrapText="1"/>
    </xf>
    <xf numFmtId="0" fontId="0" fillId="3" borderId="4" xfId="0" applyFill="1" applyBorder="1" applyAlignment="1">
      <alignment horizontal="left" vertical="top" wrapText="1"/>
    </xf>
    <xf numFmtId="0" fontId="0" fillId="4" borderId="5" xfId="0" applyFill="1" applyBorder="1" applyAlignment="1">
      <alignment horizontal="left" vertical="top" wrapText="1"/>
    </xf>
    <xf numFmtId="0" fontId="0" fillId="5" borderId="5" xfId="0" applyFill="1" applyBorder="1" applyAlignment="1">
      <alignment horizontal="left" vertical="top" wrapText="1"/>
    </xf>
    <xf numFmtId="0" fontId="0" fillId="5" borderId="4" xfId="0" applyFill="1" applyBorder="1" applyAlignment="1">
      <alignment horizontal="left" vertical="top" wrapText="1"/>
    </xf>
    <xf numFmtId="0" fontId="0" fillId="6" borderId="5" xfId="0" applyFill="1" applyBorder="1" applyAlignment="1">
      <alignment horizontal="left" vertical="top" wrapText="1"/>
    </xf>
    <xf numFmtId="0" fontId="0" fillId="6" borderId="4" xfId="0" applyFill="1" applyBorder="1" applyAlignment="1">
      <alignment horizontal="left" vertical="top" wrapText="1"/>
    </xf>
    <xf numFmtId="0" fontId="0" fillId="7" borderId="5" xfId="0" applyFill="1" applyBorder="1" applyAlignment="1">
      <alignment horizontal="left" vertical="top" wrapText="1"/>
    </xf>
    <xf numFmtId="0" fontId="0" fillId="7" borderId="4" xfId="0" applyFill="1" applyBorder="1" applyAlignment="1">
      <alignment horizontal="left" vertical="top" wrapText="1"/>
    </xf>
    <xf numFmtId="0" fontId="0" fillId="8" borderId="5" xfId="0" applyFill="1" applyBorder="1" applyAlignment="1">
      <alignment horizontal="left" vertical="top" wrapText="1"/>
    </xf>
    <xf numFmtId="0" fontId="8" fillId="0" borderId="6" xfId="0" applyFont="1" applyBorder="1" applyAlignment="1">
      <alignment horizontal="left" vertical="top" wrapText="1"/>
    </xf>
    <xf numFmtId="0" fontId="6" fillId="0" borderId="6" xfId="0" applyFont="1" applyBorder="1" applyAlignment="1">
      <alignment horizontal="center" vertical="top" wrapText="1"/>
    </xf>
    <xf numFmtId="2" fontId="6" fillId="0" borderId="6" xfId="0" applyNumberFormat="1" applyFont="1" applyBorder="1" applyAlignment="1">
      <alignment horizontal="center" vertical="top" wrapText="1"/>
    </xf>
    <xf numFmtId="2" fontId="0" fillId="3" borderId="4" xfId="0" applyNumberFormat="1" applyFill="1" applyBorder="1" applyAlignment="1">
      <alignment horizontal="left" vertical="top" wrapText="1"/>
    </xf>
    <xf numFmtId="164" fontId="0" fillId="0" borderId="4" xfId="0" applyNumberFormat="1" applyBorder="1" applyAlignment="1">
      <alignment horizontal="center" vertical="top" wrapText="1"/>
    </xf>
    <xf numFmtId="164" fontId="0" fillId="0" borderId="0" xfId="0" applyNumberFormat="1" applyAlignment="1">
      <alignment horizontal="center" vertical="top" wrapText="1"/>
    </xf>
    <xf numFmtId="164" fontId="0" fillId="0" borderId="5" xfId="0" applyNumberFormat="1" applyBorder="1" applyAlignment="1">
      <alignment horizontal="center" vertical="top" wrapText="1"/>
    </xf>
    <xf numFmtId="0" fontId="0" fillId="0" borderId="6" xfId="0" applyBorder="1" applyAlignment="1">
      <alignment horizontal="center" vertical="top" wrapText="1"/>
    </xf>
    <xf numFmtId="2" fontId="0" fillId="0" borderId="6" xfId="0" applyNumberFormat="1" applyBorder="1" applyAlignment="1">
      <alignment horizontal="center" vertical="top" wrapText="1"/>
    </xf>
    <xf numFmtId="0" fontId="0" fillId="5" borderId="5" xfId="0" applyFill="1" applyBorder="1" applyAlignment="1">
      <alignment horizontal="center" vertical="top" wrapText="1"/>
    </xf>
    <xf numFmtId="2" fontId="0" fillId="5" borderId="5" xfId="0" applyNumberFormat="1" applyFill="1" applyBorder="1" applyAlignment="1">
      <alignment horizontal="center" vertical="top" wrapText="1"/>
    </xf>
    <xf numFmtId="2" fontId="0" fillId="5" borderId="5" xfId="0" applyNumberFormat="1" applyFill="1" applyBorder="1" applyAlignment="1">
      <alignment horizontal="left" vertical="top" wrapText="1"/>
    </xf>
    <xf numFmtId="0" fontId="0" fillId="5" borderId="4" xfId="0" applyFill="1" applyBorder="1" applyAlignment="1">
      <alignment horizontal="center" vertical="top" wrapText="1"/>
    </xf>
    <xf numFmtId="2" fontId="0" fillId="5" borderId="4" xfId="0" applyNumberFormat="1" applyFill="1" applyBorder="1" applyAlignment="1">
      <alignment horizontal="center" vertical="top" wrapText="1"/>
    </xf>
    <xf numFmtId="2" fontId="0" fillId="5" borderId="4" xfId="0" applyNumberFormat="1" applyFill="1" applyBorder="1" applyAlignment="1">
      <alignment horizontal="left" vertical="top" wrapText="1"/>
    </xf>
    <xf numFmtId="0" fontId="0" fillId="6" borderId="5" xfId="0" applyFill="1" applyBorder="1" applyAlignment="1">
      <alignment horizontal="center" vertical="top" wrapText="1"/>
    </xf>
    <xf numFmtId="2" fontId="0" fillId="6" borderId="5" xfId="0" applyNumberFormat="1" applyFill="1" applyBorder="1" applyAlignment="1">
      <alignment horizontal="center" vertical="top" wrapText="1"/>
    </xf>
    <xf numFmtId="0" fontId="0" fillId="6" borderId="4" xfId="0" applyFill="1" applyBorder="1" applyAlignment="1">
      <alignment horizontal="center" vertical="top" wrapText="1"/>
    </xf>
    <xf numFmtId="2" fontId="0" fillId="6" borderId="4" xfId="0" applyNumberFormat="1" applyFill="1" applyBorder="1" applyAlignment="1">
      <alignment horizontal="center" vertical="top" wrapText="1"/>
    </xf>
    <xf numFmtId="2" fontId="0" fillId="6" borderId="4" xfId="0" applyNumberFormat="1" applyFill="1" applyBorder="1" applyAlignment="1">
      <alignment horizontal="left" vertical="top" wrapText="1"/>
    </xf>
    <xf numFmtId="0" fontId="0" fillId="3" borderId="5" xfId="0" applyFill="1" applyBorder="1" applyAlignment="1">
      <alignment horizontal="center" vertical="top" wrapText="1"/>
    </xf>
    <xf numFmtId="2" fontId="0" fillId="3" borderId="5" xfId="0" applyNumberFormat="1" applyFill="1" applyBorder="1" applyAlignment="1">
      <alignment horizontal="center" vertical="top" wrapText="1"/>
    </xf>
    <xf numFmtId="2" fontId="0" fillId="3" borderId="5" xfId="0" applyNumberFormat="1" applyFill="1" applyBorder="1" applyAlignment="1">
      <alignment horizontal="left" vertical="top" wrapText="1"/>
    </xf>
    <xf numFmtId="0" fontId="0" fillId="3" borderId="4" xfId="0" applyFill="1" applyBorder="1" applyAlignment="1">
      <alignment horizontal="center" vertical="top" wrapText="1"/>
    </xf>
    <xf numFmtId="2" fontId="0" fillId="3" borderId="4" xfId="0" applyNumberFormat="1" applyFill="1" applyBorder="1" applyAlignment="1">
      <alignment horizontal="center" vertical="top" wrapText="1"/>
    </xf>
    <xf numFmtId="2" fontId="0" fillId="0" borderId="6" xfId="0" applyNumberFormat="1" applyBorder="1" applyAlignment="1">
      <alignment horizontal="left" vertical="top" wrapText="1"/>
    </xf>
    <xf numFmtId="0" fontId="0" fillId="4" borderId="5" xfId="0" applyFill="1" applyBorder="1" applyAlignment="1">
      <alignment horizontal="center" vertical="top" wrapText="1"/>
    </xf>
    <xf numFmtId="2" fontId="0" fillId="4" borderId="5" xfId="0" applyNumberFormat="1" applyFill="1" applyBorder="1" applyAlignment="1">
      <alignment horizontal="center" vertical="top" wrapText="1"/>
    </xf>
    <xf numFmtId="2" fontId="0" fillId="4" borderId="5" xfId="0" applyNumberFormat="1" applyFill="1" applyBorder="1" applyAlignment="1">
      <alignment horizontal="left" vertical="top" wrapText="1"/>
    </xf>
    <xf numFmtId="0" fontId="0" fillId="7" borderId="5" xfId="0" applyFill="1" applyBorder="1" applyAlignment="1">
      <alignment horizontal="center" vertical="top" wrapText="1"/>
    </xf>
    <xf numFmtId="3" fontId="0" fillId="7" borderId="5" xfId="0" applyNumberFormat="1" applyFill="1" applyBorder="1" applyAlignment="1">
      <alignment horizontal="center" vertical="top" wrapText="1"/>
    </xf>
    <xf numFmtId="9" fontId="0" fillId="7" borderId="5" xfId="0" applyNumberFormat="1" applyFill="1" applyBorder="1" applyAlignment="1">
      <alignment horizontal="center" vertical="top" wrapText="1"/>
    </xf>
    <xf numFmtId="2" fontId="0" fillId="7" borderId="5" xfId="0" applyNumberFormat="1" applyFill="1" applyBorder="1" applyAlignment="1">
      <alignment horizontal="left" vertical="top" wrapText="1"/>
    </xf>
    <xf numFmtId="164" fontId="0" fillId="7" borderId="5" xfId="0" applyNumberFormat="1" applyFill="1" applyBorder="1" applyAlignment="1">
      <alignment horizontal="center" vertical="top" wrapText="1"/>
    </xf>
    <xf numFmtId="0" fontId="0" fillId="7" borderId="4" xfId="0" applyFill="1" applyBorder="1" applyAlignment="1">
      <alignment horizontal="center" vertical="top" wrapText="1"/>
    </xf>
    <xf numFmtId="3" fontId="0" fillId="7" borderId="4" xfId="0" applyNumberFormat="1" applyFill="1" applyBorder="1" applyAlignment="1">
      <alignment horizontal="center" vertical="top" wrapText="1"/>
    </xf>
    <xf numFmtId="9" fontId="0" fillId="7" borderId="4" xfId="0" applyNumberFormat="1" applyFill="1" applyBorder="1" applyAlignment="1">
      <alignment horizontal="center" vertical="top" wrapText="1"/>
    </xf>
    <xf numFmtId="2" fontId="0" fillId="7" borderId="4" xfId="0" applyNumberFormat="1" applyFill="1" applyBorder="1" applyAlignment="1">
      <alignment horizontal="left" vertical="top" wrapText="1"/>
    </xf>
    <xf numFmtId="164" fontId="0" fillId="7" borderId="4" xfId="0" applyNumberFormat="1" applyFill="1" applyBorder="1" applyAlignment="1">
      <alignment horizontal="center" vertical="top" wrapText="1"/>
    </xf>
    <xf numFmtId="0" fontId="0" fillId="0" borderId="5" xfId="0" applyBorder="1" applyAlignment="1">
      <alignment horizontal="center" vertical="top" wrapText="1"/>
    </xf>
    <xf numFmtId="3" fontId="0" fillId="0" borderId="5" xfId="0" applyNumberFormat="1" applyBorder="1" applyAlignment="1">
      <alignment horizontal="center" vertical="top" wrapText="1"/>
    </xf>
    <xf numFmtId="9" fontId="0" fillId="0" borderId="5" xfId="0" applyNumberFormat="1" applyBorder="1" applyAlignment="1">
      <alignment horizontal="center" vertical="top" wrapText="1"/>
    </xf>
    <xf numFmtId="2" fontId="0" fillId="0" borderId="5" xfId="0" applyNumberFormat="1" applyBorder="1" applyAlignment="1">
      <alignment horizontal="left" vertical="top" wrapText="1"/>
    </xf>
    <xf numFmtId="0" fontId="0" fillId="0" borderId="4" xfId="0" applyBorder="1" applyAlignment="1">
      <alignment horizontal="center" vertical="top" wrapText="1"/>
    </xf>
    <xf numFmtId="3" fontId="0" fillId="0" borderId="4" xfId="0" applyNumberFormat="1" applyBorder="1" applyAlignment="1">
      <alignment horizontal="center" vertical="top" wrapText="1"/>
    </xf>
    <xf numFmtId="9" fontId="0" fillId="0" borderId="4" xfId="0" applyNumberFormat="1" applyBorder="1" applyAlignment="1">
      <alignment horizontal="center" vertical="top" wrapText="1"/>
    </xf>
    <xf numFmtId="2" fontId="0" fillId="0" borderId="4" xfId="0" applyNumberFormat="1" applyBorder="1" applyAlignment="1">
      <alignment horizontal="left" vertical="top" wrapText="1"/>
    </xf>
    <xf numFmtId="0" fontId="0" fillId="8" borderId="5" xfId="0" applyFill="1" applyBorder="1" applyAlignment="1">
      <alignment horizontal="center" vertical="top" wrapText="1"/>
    </xf>
    <xf numFmtId="9" fontId="0" fillId="8" borderId="5" xfId="0" applyNumberFormat="1" applyFill="1" applyBorder="1" applyAlignment="1">
      <alignment horizontal="center" vertical="top" wrapText="1"/>
    </xf>
    <xf numFmtId="2" fontId="0" fillId="8" borderId="5" xfId="0" applyNumberFormat="1" applyFill="1" applyBorder="1" applyAlignment="1">
      <alignment horizontal="left" vertical="top" wrapText="1"/>
    </xf>
    <xf numFmtId="164" fontId="0" fillId="8" borderId="5" xfId="0" applyNumberFormat="1" applyFill="1" applyBorder="1" applyAlignment="1">
      <alignment horizontal="center" vertical="top" wrapText="1"/>
    </xf>
    <xf numFmtId="0" fontId="0" fillId="0" borderId="18" xfId="0" applyBorder="1" applyAlignment="1">
      <alignment horizontal="left" vertical="top"/>
    </xf>
    <xf numFmtId="0" fontId="0" fillId="0" borderId="18" xfId="0" applyBorder="1" applyAlignment="1">
      <alignment horizontal="center" vertical="top"/>
    </xf>
    <xf numFmtId="0" fontId="0" fillId="0" borderId="18" xfId="0" applyBorder="1" applyAlignment="1">
      <alignment horizontal="left" vertical="top" wrapText="1"/>
    </xf>
    <xf numFmtId="0" fontId="0" fillId="0" borderId="19" xfId="0" applyBorder="1" applyAlignment="1">
      <alignment horizontal="center" vertical="top"/>
    </xf>
    <xf numFmtId="0" fontId="6" fillId="0" borderId="20" xfId="0" applyFont="1" applyBorder="1" applyAlignment="1">
      <alignment horizontal="left" vertical="top" wrapText="1"/>
    </xf>
    <xf numFmtId="0" fontId="0" fillId="0" borderId="20" xfId="0" applyBorder="1" applyAlignment="1">
      <alignment horizontal="left" vertical="top" wrapText="1"/>
    </xf>
    <xf numFmtId="0" fontId="0" fillId="5" borderId="12" xfId="0" applyFill="1" applyBorder="1" applyAlignment="1">
      <alignment horizontal="left" vertical="top" wrapText="1"/>
    </xf>
    <xf numFmtId="0" fontId="0" fillId="5" borderId="14" xfId="0" applyFill="1" applyBorder="1" applyAlignment="1">
      <alignment horizontal="left" vertical="top" wrapText="1"/>
    </xf>
    <xf numFmtId="0" fontId="0" fillId="5" borderId="0" xfId="0" applyFill="1" applyAlignment="1">
      <alignment horizontal="left" vertical="top" wrapText="1"/>
    </xf>
    <xf numFmtId="0" fontId="0" fillId="5" borderId="0" xfId="0" applyFill="1" applyAlignment="1">
      <alignment horizontal="center" vertical="top" wrapText="1"/>
    </xf>
    <xf numFmtId="2" fontId="0" fillId="5" borderId="0" xfId="0" applyNumberFormat="1" applyFill="1" applyAlignment="1">
      <alignment horizontal="center" vertical="top" wrapText="1"/>
    </xf>
    <xf numFmtId="2" fontId="0" fillId="5" borderId="0" xfId="0" applyNumberFormat="1" applyFill="1" applyAlignment="1">
      <alignment horizontal="left" vertical="top" wrapText="1"/>
    </xf>
    <xf numFmtId="0" fontId="0" fillId="5" borderId="22" xfId="0" applyFill="1" applyBorder="1" applyAlignment="1">
      <alignment horizontal="left" vertical="top" wrapText="1"/>
    </xf>
    <xf numFmtId="0" fontId="0" fillId="6" borderId="12" xfId="0" applyFill="1" applyBorder="1" applyAlignment="1">
      <alignment horizontal="left" vertical="top" wrapText="1"/>
    </xf>
    <xf numFmtId="0" fontId="0" fillId="6" borderId="22" xfId="0" applyFill="1" applyBorder="1" applyAlignment="1">
      <alignment horizontal="left" vertical="top" wrapText="1"/>
    </xf>
    <xf numFmtId="0" fontId="0" fillId="3" borderId="12" xfId="0" applyFill="1" applyBorder="1" applyAlignment="1">
      <alignment horizontal="left" vertical="top" wrapText="1"/>
    </xf>
    <xf numFmtId="0" fontId="0" fillId="3" borderId="14" xfId="0" applyFill="1" applyBorder="1" applyAlignment="1">
      <alignment horizontal="left" vertical="top" wrapText="1"/>
    </xf>
    <xf numFmtId="0" fontId="0" fillId="3" borderId="0" xfId="0" applyFill="1" applyAlignment="1">
      <alignment horizontal="left" vertical="top" wrapText="1"/>
    </xf>
    <xf numFmtId="0" fontId="0" fillId="3" borderId="0" xfId="0" applyFill="1" applyAlignment="1">
      <alignment horizontal="center" vertical="top" wrapText="1"/>
    </xf>
    <xf numFmtId="2" fontId="0" fillId="3" borderId="0" xfId="0" applyNumberFormat="1" applyFill="1" applyAlignment="1">
      <alignment horizontal="center" vertical="top" wrapText="1"/>
    </xf>
    <xf numFmtId="2" fontId="0" fillId="3" borderId="0" xfId="0" applyNumberFormat="1" applyFill="1" applyAlignment="1">
      <alignment horizontal="left" vertical="top" wrapText="1"/>
    </xf>
    <xf numFmtId="0" fontId="0" fillId="3" borderId="22" xfId="0" applyFill="1" applyBorder="1" applyAlignment="1">
      <alignment horizontal="left" vertical="top" wrapText="1"/>
    </xf>
    <xf numFmtId="0" fontId="8" fillId="0" borderId="20" xfId="0" applyFont="1" applyBorder="1" applyAlignment="1">
      <alignment horizontal="left" vertical="top" wrapText="1"/>
    </xf>
    <xf numFmtId="0" fontId="0" fillId="4" borderId="12" xfId="0" applyFill="1" applyBorder="1" applyAlignment="1">
      <alignment horizontal="left" vertical="top" wrapText="1"/>
    </xf>
    <xf numFmtId="0" fontId="0" fillId="4" borderId="14" xfId="0" applyFill="1" applyBorder="1" applyAlignment="1">
      <alignment horizontal="left" vertical="top" wrapText="1"/>
    </xf>
    <xf numFmtId="0" fontId="0" fillId="4" borderId="0" xfId="0" applyFill="1" applyAlignment="1">
      <alignment horizontal="left" vertical="top" wrapText="1"/>
    </xf>
    <xf numFmtId="0" fontId="0" fillId="4" borderId="0" xfId="0" applyFill="1" applyAlignment="1">
      <alignment horizontal="center" vertical="top" wrapText="1"/>
    </xf>
    <xf numFmtId="0" fontId="0" fillId="0" borderId="0" xfId="0" applyAlignment="1">
      <alignment horizontal="center" vertical="top" wrapText="1"/>
    </xf>
    <xf numFmtId="2" fontId="0" fillId="4" borderId="0" xfId="0" applyNumberFormat="1" applyFill="1" applyAlignment="1">
      <alignment horizontal="center" vertical="top" wrapText="1"/>
    </xf>
    <xf numFmtId="0" fontId="0" fillId="7" borderId="12" xfId="0" applyFill="1" applyBorder="1" applyAlignment="1">
      <alignment horizontal="left" vertical="top" wrapText="1"/>
    </xf>
    <xf numFmtId="0" fontId="0" fillId="7" borderId="14" xfId="0" applyFill="1" applyBorder="1" applyAlignment="1">
      <alignment horizontal="left" vertical="top" wrapText="1"/>
    </xf>
    <xf numFmtId="0" fontId="0" fillId="7" borderId="0" xfId="0" applyFill="1" applyAlignment="1">
      <alignment horizontal="left" vertical="top" wrapText="1"/>
    </xf>
    <xf numFmtId="0" fontId="0" fillId="7" borderId="0" xfId="0" applyFill="1" applyAlignment="1">
      <alignment horizontal="center" vertical="top" wrapText="1"/>
    </xf>
    <xf numFmtId="3" fontId="0" fillId="7" borderId="0" xfId="0" applyNumberFormat="1" applyFill="1" applyAlignment="1">
      <alignment horizontal="center" vertical="top" wrapText="1"/>
    </xf>
    <xf numFmtId="9" fontId="0" fillId="7" borderId="0" xfId="0" applyNumberFormat="1" applyFill="1" applyAlignment="1">
      <alignment horizontal="center" vertical="top" wrapText="1"/>
    </xf>
    <xf numFmtId="2" fontId="0" fillId="7" borderId="0" xfId="0" applyNumberFormat="1" applyFill="1" applyAlignment="1">
      <alignment horizontal="left" vertical="top" wrapText="1"/>
    </xf>
    <xf numFmtId="164" fontId="0" fillId="7" borderId="0" xfId="0" applyNumberFormat="1" applyFill="1" applyAlignment="1">
      <alignment horizontal="center" vertical="top" wrapText="1"/>
    </xf>
    <xf numFmtId="0" fontId="0" fillId="7" borderId="22" xfId="0" applyFill="1" applyBorder="1" applyAlignment="1">
      <alignment horizontal="left" vertical="top" wrapText="1"/>
    </xf>
    <xf numFmtId="0" fontId="0" fillId="0" borderId="12" xfId="0" applyBorder="1" applyAlignment="1">
      <alignment horizontal="left" vertical="top" wrapText="1"/>
    </xf>
    <xf numFmtId="0" fontId="0" fillId="0" borderId="14" xfId="0" applyBorder="1" applyAlignment="1">
      <alignment horizontal="left" vertical="top" wrapText="1"/>
    </xf>
    <xf numFmtId="3" fontId="0" fillId="0" borderId="0" xfId="0" applyNumberFormat="1" applyAlignment="1">
      <alignment horizontal="center" vertical="top" wrapText="1"/>
    </xf>
    <xf numFmtId="9" fontId="0" fillId="0" borderId="0" xfId="0" applyNumberFormat="1" applyAlignment="1">
      <alignment horizontal="center" vertical="top" wrapText="1"/>
    </xf>
    <xf numFmtId="2" fontId="0" fillId="0" borderId="0" xfId="0" applyNumberFormat="1" applyAlignment="1">
      <alignment horizontal="left" vertical="top" wrapText="1"/>
    </xf>
    <xf numFmtId="0" fontId="0" fillId="0" borderId="21" xfId="0" applyBorder="1" applyAlignment="1">
      <alignment horizontal="center" vertical="top" wrapText="1"/>
    </xf>
    <xf numFmtId="0" fontId="0" fillId="0" borderId="22" xfId="0" applyBorder="1" applyAlignment="1">
      <alignment horizontal="left" vertical="top" wrapText="1"/>
    </xf>
    <xf numFmtId="0" fontId="0" fillId="8" borderId="12" xfId="0" applyFill="1" applyBorder="1" applyAlignment="1">
      <alignment horizontal="left" vertical="top" wrapText="1"/>
    </xf>
    <xf numFmtId="0" fontId="0" fillId="8" borderId="14" xfId="0" applyFill="1" applyBorder="1" applyAlignment="1">
      <alignment horizontal="left" vertical="top" wrapText="1"/>
    </xf>
    <xf numFmtId="0" fontId="0" fillId="8" borderId="0" xfId="0" applyFill="1" applyAlignment="1">
      <alignment horizontal="left" vertical="top" wrapText="1"/>
    </xf>
    <xf numFmtId="0" fontId="0" fillId="8" borderId="0" xfId="0" applyFill="1" applyAlignment="1">
      <alignment horizontal="center" vertical="top" wrapText="1"/>
    </xf>
    <xf numFmtId="9" fontId="0" fillId="8" borderId="0" xfId="0" applyNumberFormat="1" applyFill="1" applyAlignment="1">
      <alignment horizontal="center" vertical="top" wrapText="1"/>
    </xf>
    <xf numFmtId="2" fontId="0" fillId="8" borderId="0" xfId="0" applyNumberFormat="1" applyFill="1" applyAlignment="1">
      <alignment horizontal="left" vertical="top" wrapText="1"/>
    </xf>
    <xf numFmtId="164" fontId="0" fillId="8" borderId="0" xfId="0" applyNumberFormat="1" applyFill="1" applyAlignment="1">
      <alignment horizontal="center" vertical="top" wrapText="1"/>
    </xf>
    <xf numFmtId="0" fontId="0" fillId="8" borderId="24" xfId="0" applyFill="1" applyBorder="1" applyAlignment="1">
      <alignment horizontal="left" vertical="top" wrapText="1"/>
    </xf>
    <xf numFmtId="0" fontId="0" fillId="8" borderId="25" xfId="0" applyFill="1" applyBorder="1" applyAlignment="1">
      <alignment horizontal="left" vertical="top" wrapText="1"/>
    </xf>
    <xf numFmtId="0" fontId="0" fillId="8" borderId="25" xfId="0" applyFill="1" applyBorder="1" applyAlignment="1">
      <alignment horizontal="center" vertical="top" wrapText="1"/>
    </xf>
    <xf numFmtId="9" fontId="0" fillId="8" borderId="25" xfId="0" applyNumberFormat="1" applyFill="1" applyBorder="1" applyAlignment="1">
      <alignment horizontal="center" vertical="top" wrapText="1"/>
    </xf>
    <xf numFmtId="2" fontId="0" fillId="8" borderId="25" xfId="0" applyNumberFormat="1" applyFill="1" applyBorder="1" applyAlignment="1">
      <alignment horizontal="left" vertical="top" wrapText="1"/>
    </xf>
    <xf numFmtId="164" fontId="0" fillId="8" borderId="25" xfId="0" applyNumberFormat="1" applyFill="1" applyBorder="1" applyAlignment="1">
      <alignment horizontal="center" vertical="top" wrapText="1"/>
    </xf>
    <xf numFmtId="0" fontId="0" fillId="0" borderId="0" xfId="0" applyAlignment="1">
      <alignment horizontal="center" vertical="top"/>
    </xf>
    <xf numFmtId="2" fontId="0" fillId="4" borderId="0" xfId="0" applyNumberFormat="1" applyFill="1" applyAlignment="1">
      <alignment horizontal="left" vertical="top" wrapText="1"/>
    </xf>
    <xf numFmtId="166" fontId="0" fillId="0" borderId="0" xfId="0" applyNumberFormat="1" applyAlignment="1">
      <alignment horizontal="left" vertical="top" wrapText="1"/>
    </xf>
    <xf numFmtId="9" fontId="0" fillId="0" borderId="5" xfId="0" applyNumberFormat="1" applyBorder="1" applyAlignment="1">
      <alignment horizontal="left" vertical="top" wrapText="1"/>
    </xf>
    <xf numFmtId="166" fontId="0" fillId="0" borderId="5" xfId="0" applyNumberFormat="1" applyBorder="1" applyAlignment="1">
      <alignment horizontal="left" vertical="top" wrapText="1"/>
    </xf>
    <xf numFmtId="0" fontId="0" fillId="0" borderId="29" xfId="0" applyBorder="1" applyAlignment="1">
      <alignment horizontal="center" vertical="top" wrapText="1"/>
    </xf>
    <xf numFmtId="0" fontId="0" fillId="0" borderId="29" xfId="0" applyBorder="1" applyAlignment="1">
      <alignment horizontal="center" vertical="top"/>
    </xf>
    <xf numFmtId="0" fontId="0" fillId="0" borderId="21" xfId="0" applyBorder="1" applyAlignment="1">
      <alignment vertical="top"/>
    </xf>
    <xf numFmtId="0" fontId="0" fillId="0" borderId="26" xfId="0" applyBorder="1" applyAlignment="1">
      <alignment vertical="top"/>
    </xf>
    <xf numFmtId="0" fontId="0" fillId="4" borderId="4" xfId="0" applyFill="1" applyBorder="1" applyAlignment="1">
      <alignment horizontal="center" vertical="top" wrapText="1"/>
    </xf>
    <xf numFmtId="0" fontId="0" fillId="0" borderId="23" xfId="0" applyBorder="1" applyAlignment="1">
      <alignment vertical="top"/>
    </xf>
    <xf numFmtId="0" fontId="0" fillId="0" borderId="0" xfId="0" applyAlignment="1">
      <alignment horizontal="left"/>
    </xf>
    <xf numFmtId="166" fontId="0" fillId="5" borderId="5" xfId="0" applyNumberFormat="1" applyFill="1" applyBorder="1" applyAlignment="1">
      <alignment horizontal="center" vertical="top" wrapText="1"/>
    </xf>
    <xf numFmtId="166" fontId="0" fillId="5" borderId="0" xfId="0" applyNumberFormat="1" applyFill="1" applyAlignment="1">
      <alignment horizontal="center" vertical="top" wrapText="1"/>
    </xf>
    <xf numFmtId="166" fontId="0" fillId="6" borderId="5" xfId="0" applyNumberFormat="1" applyFill="1" applyBorder="1" applyAlignment="1">
      <alignment horizontal="center" vertical="top" wrapText="1"/>
    </xf>
    <xf numFmtId="166" fontId="0" fillId="3" borderId="5" xfId="0" applyNumberFormat="1" applyFill="1" applyBorder="1" applyAlignment="1">
      <alignment horizontal="center" vertical="top" wrapText="1"/>
    </xf>
    <xf numFmtId="166" fontId="0" fillId="0" borderId="6" xfId="0" applyNumberFormat="1" applyBorder="1" applyAlignment="1">
      <alignment horizontal="center" vertical="top" wrapText="1"/>
    </xf>
    <xf numFmtId="166" fontId="0" fillId="4" borderId="5" xfId="0" applyNumberFormat="1" applyFill="1" applyBorder="1" applyAlignment="1">
      <alignment horizontal="center" vertical="top" wrapText="1"/>
    </xf>
    <xf numFmtId="164" fontId="0" fillId="5" borderId="0" xfId="0" applyNumberFormat="1" applyFill="1" applyAlignment="1">
      <alignment horizontal="center" vertical="top" wrapText="1"/>
    </xf>
    <xf numFmtId="164" fontId="0" fillId="3" borderId="0" xfId="0" applyNumberFormat="1" applyFill="1" applyAlignment="1">
      <alignment horizontal="center" vertical="top" wrapText="1"/>
    </xf>
    <xf numFmtId="164" fontId="0" fillId="4" borderId="5" xfId="0" applyNumberFormat="1" applyFill="1" applyBorder="1" applyAlignment="1">
      <alignment horizontal="center" vertical="top" wrapText="1"/>
    </xf>
    <xf numFmtId="0" fontId="14" fillId="0" borderId="0" xfId="3" applyFill="1" applyAlignment="1">
      <alignment vertical="top"/>
    </xf>
    <xf numFmtId="164" fontId="0" fillId="0" borderId="21" xfId="2" applyNumberFormat="1" applyFont="1" applyFill="1" applyBorder="1" applyAlignment="1">
      <alignment horizontal="center" vertical="top" wrapText="1"/>
    </xf>
    <xf numFmtId="164" fontId="0" fillId="0" borderId="49" xfId="2" applyNumberFormat="1" applyFont="1" applyFill="1" applyBorder="1" applyAlignment="1">
      <alignment horizontal="center" vertical="top" wrapText="1"/>
    </xf>
    <xf numFmtId="165" fontId="9" fillId="0" borderId="9" xfId="0" applyNumberFormat="1" applyFont="1" applyBorder="1" applyAlignment="1">
      <alignment horizontal="center"/>
    </xf>
    <xf numFmtId="2" fontId="5" fillId="0" borderId="14" xfId="0" applyNumberFormat="1" applyFont="1" applyBorder="1" applyAlignment="1">
      <alignment horizontal="center"/>
    </xf>
    <xf numFmtId="165" fontId="5" fillId="0" borderId="9" xfId="1" applyNumberFormat="1" applyFont="1" applyBorder="1" applyAlignment="1">
      <alignment horizontal="center"/>
    </xf>
    <xf numFmtId="2" fontId="0" fillId="0" borderId="0" xfId="0" applyNumberFormat="1"/>
    <xf numFmtId="0" fontId="10" fillId="0" borderId="0" xfId="0" applyFont="1" applyAlignment="1">
      <alignment vertical="center"/>
    </xf>
    <xf numFmtId="0" fontId="0" fillId="9" borderId="10" xfId="0" applyFill="1" applyBorder="1" applyAlignment="1">
      <alignment horizontal="center"/>
    </xf>
    <xf numFmtId="0" fontId="0" fillId="9" borderId="0" xfId="0" applyFill="1" applyAlignment="1">
      <alignment horizontal="center"/>
    </xf>
    <xf numFmtId="0" fontId="0" fillId="9" borderId="9" xfId="0" applyFill="1" applyBorder="1" applyAlignment="1">
      <alignment horizontal="center"/>
    </xf>
    <xf numFmtId="2" fontId="5" fillId="9" borderId="10" xfId="0" applyNumberFormat="1" applyFont="1" applyFill="1" applyBorder="1"/>
    <xf numFmtId="2" fontId="5" fillId="9" borderId="0" xfId="0" applyNumberFormat="1" applyFont="1" applyFill="1"/>
    <xf numFmtId="2" fontId="5" fillId="0" borderId="10" xfId="0" applyNumberFormat="1" applyFont="1" applyBorder="1"/>
    <xf numFmtId="2" fontId="5" fillId="0" borderId="0" xfId="0" applyNumberFormat="1" applyFont="1"/>
    <xf numFmtId="2" fontId="0" fillId="0" borderId="10" xfId="0" applyNumberFormat="1" applyBorder="1"/>
    <xf numFmtId="2" fontId="0" fillId="9" borderId="10" xfId="0" applyNumberFormat="1" applyFill="1" applyBorder="1"/>
    <xf numFmtId="2" fontId="0" fillId="9" borderId="0" xfId="0" applyNumberFormat="1" applyFill="1"/>
    <xf numFmtId="2" fontId="9" fillId="9" borderId="10" xfId="4" applyNumberFormat="1" applyFont="1" applyFill="1" applyBorder="1"/>
    <xf numFmtId="2" fontId="9" fillId="9" borderId="0" xfId="4" applyNumberFormat="1" applyFont="1" applyFill="1"/>
    <xf numFmtId="2" fontId="5" fillId="0" borderId="0" xfId="4" applyNumberFormat="1" applyFont="1" applyFill="1"/>
    <xf numFmtId="2" fontId="9" fillId="0" borderId="0" xfId="4" applyNumberFormat="1" applyFont="1" applyFill="1"/>
    <xf numFmtId="0" fontId="9" fillId="0" borderId="0" xfId="4" applyFont="1" applyFill="1"/>
    <xf numFmtId="0" fontId="9" fillId="0" borderId="9" xfId="4" applyFont="1" applyFill="1" applyBorder="1"/>
    <xf numFmtId="0" fontId="0" fillId="0" borderId="18" xfId="0" applyBorder="1"/>
    <xf numFmtId="0" fontId="0" fillId="9" borderId="18" xfId="0" applyFill="1" applyBorder="1"/>
    <xf numFmtId="167" fontId="13" fillId="0" borderId="18" xfId="0" applyNumberFormat="1" applyFont="1" applyBorder="1"/>
    <xf numFmtId="0" fontId="0" fillId="0" borderId="0" xfId="0" applyAlignment="1">
      <alignment horizontal="center" wrapText="1"/>
    </xf>
    <xf numFmtId="165" fontId="5" fillId="0" borderId="0" xfId="0" applyNumberFormat="1" applyFont="1" applyAlignment="1">
      <alignment horizontal="center"/>
    </xf>
    <xf numFmtId="165" fontId="0" fillId="0" borderId="0" xfId="1" applyNumberFormat="1" applyFont="1" applyBorder="1" applyAlignment="1">
      <alignment horizontal="center"/>
    </xf>
    <xf numFmtId="0" fontId="5" fillId="0" borderId="0" xfId="0" applyFont="1" applyAlignment="1">
      <alignment horizontal="center"/>
    </xf>
    <xf numFmtId="2" fontId="19" fillId="0" borderId="14" xfId="0" applyNumberFormat="1" applyFont="1" applyBorder="1" applyAlignment="1">
      <alignment horizontal="center"/>
    </xf>
    <xf numFmtId="2" fontId="19" fillId="0" borderId="0" xfId="0" applyNumberFormat="1" applyFont="1" applyAlignment="1">
      <alignment horizontal="center"/>
    </xf>
    <xf numFmtId="165" fontId="5" fillId="9" borderId="9" xfId="0" applyNumberFormat="1" applyFont="1" applyFill="1" applyBorder="1"/>
    <xf numFmtId="165" fontId="0" fillId="9" borderId="9" xfId="0" applyNumberFormat="1" applyFill="1" applyBorder="1"/>
    <xf numFmtId="165" fontId="9" fillId="9" borderId="9" xfId="4" applyNumberFormat="1" applyFont="1" applyFill="1" applyBorder="1"/>
    <xf numFmtId="0" fontId="0" fillId="0" borderId="54" xfId="0" applyBorder="1" applyAlignment="1">
      <alignment horizontal="center"/>
    </xf>
    <xf numFmtId="0" fontId="0" fillId="0" borderId="55" xfId="0" applyBorder="1" applyAlignment="1">
      <alignment horizontal="center"/>
    </xf>
    <xf numFmtId="165" fontId="0" fillId="0" borderId="56" xfId="1" applyNumberFormat="1" applyFont="1" applyBorder="1" applyAlignment="1">
      <alignment horizontal="center"/>
    </xf>
    <xf numFmtId="2" fontId="5" fillId="0" borderId="57" xfId="0" applyNumberFormat="1" applyFont="1" applyBorder="1"/>
    <xf numFmtId="165" fontId="5" fillId="0" borderId="58" xfId="0" applyNumberFormat="1" applyFont="1" applyBorder="1"/>
    <xf numFmtId="2" fontId="0" fillId="0" borderId="57" xfId="0" applyNumberFormat="1" applyBorder="1"/>
    <xf numFmtId="165" fontId="0" fillId="0" borderId="58" xfId="0" applyNumberFormat="1" applyBorder="1"/>
    <xf numFmtId="0" fontId="0" fillId="0" borderId="57" xfId="0" applyBorder="1"/>
    <xf numFmtId="165" fontId="0" fillId="0" borderId="58" xfId="0" applyNumberFormat="1" applyBorder="1" applyAlignment="1">
      <alignment horizontal="right"/>
    </xf>
    <xf numFmtId="2" fontId="5" fillId="0" borderId="59" xfId="0" applyNumberFormat="1" applyFont="1" applyBorder="1"/>
    <xf numFmtId="2" fontId="5" fillId="0" borderId="60" xfId="0" applyNumberFormat="1" applyFont="1" applyBorder="1"/>
    <xf numFmtId="165" fontId="5" fillId="0" borderId="0" xfId="0" applyNumberFormat="1" applyFont="1"/>
    <xf numFmtId="165" fontId="0" fillId="0" borderId="0" xfId="0" applyNumberFormat="1"/>
    <xf numFmtId="165" fontId="8" fillId="0" borderId="0" xfId="0" applyNumberFormat="1" applyFont="1" applyAlignment="1">
      <alignment horizontal="center"/>
    </xf>
    <xf numFmtId="2" fontId="8" fillId="0" borderId="0" xfId="0" applyNumberFormat="1" applyFont="1" applyAlignment="1">
      <alignment horizontal="center"/>
    </xf>
    <xf numFmtId="165" fontId="0" fillId="0" borderId="0" xfId="1" applyNumberFormat="1" applyFont="1" applyFill="1" applyAlignment="1">
      <alignment horizontal="center"/>
    </xf>
    <xf numFmtId="165" fontId="9" fillId="0" borderId="0" xfId="1" applyNumberFormat="1" applyFont="1" applyFill="1" applyAlignment="1">
      <alignment horizontal="center"/>
    </xf>
    <xf numFmtId="165" fontId="5" fillId="0" borderId="0" xfId="1" applyNumberFormat="1" applyFont="1" applyFill="1" applyAlignment="1">
      <alignment horizontal="center"/>
    </xf>
    <xf numFmtId="164" fontId="8" fillId="0" borderId="0" xfId="0" applyNumberFormat="1" applyFont="1" applyAlignment="1">
      <alignment horizontal="center"/>
    </xf>
    <xf numFmtId="164" fontId="5" fillId="0" borderId="10" xfId="0" applyNumberFormat="1" applyFont="1" applyBorder="1" applyAlignment="1">
      <alignment horizontal="center"/>
    </xf>
    <xf numFmtId="164" fontId="5" fillId="0" borderId="0" xfId="0" applyNumberFormat="1" applyFont="1" applyAlignment="1">
      <alignment horizontal="center"/>
    </xf>
    <xf numFmtId="164" fontId="0" fillId="0" borderId="10" xfId="0" applyNumberFormat="1" applyBorder="1" applyAlignment="1">
      <alignment horizontal="center"/>
    </xf>
    <xf numFmtId="164" fontId="0" fillId="0" borderId="0" xfId="0" applyNumberFormat="1" applyAlignment="1">
      <alignment horizontal="center"/>
    </xf>
    <xf numFmtId="165" fontId="20" fillId="0" borderId="0" xfId="0" applyNumberFormat="1" applyFont="1" applyAlignment="1">
      <alignment horizontal="right"/>
    </xf>
    <xf numFmtId="165" fontId="5" fillId="9" borderId="9" xfId="0" applyNumberFormat="1" applyFont="1" applyFill="1" applyBorder="1" applyAlignment="1">
      <alignment horizontal="right"/>
    </xf>
    <xf numFmtId="165" fontId="5" fillId="0" borderId="0" xfId="0" applyNumberFormat="1" applyFont="1" applyAlignment="1">
      <alignment horizontal="right"/>
    </xf>
    <xf numFmtId="165" fontId="5" fillId="0" borderId="58" xfId="0" applyNumberFormat="1" applyFont="1" applyBorder="1" applyAlignment="1">
      <alignment horizontal="right"/>
    </xf>
    <xf numFmtId="165" fontId="5" fillId="0" borderId="61" xfId="0" applyNumberFormat="1" applyFont="1" applyBorder="1" applyAlignment="1">
      <alignment horizontal="right"/>
    </xf>
    <xf numFmtId="165" fontId="19" fillId="0" borderId="9" xfId="1" applyNumberFormat="1" applyFont="1" applyBorder="1" applyAlignment="1">
      <alignment horizontal="center"/>
    </xf>
    <xf numFmtId="0" fontId="0" fillId="0" borderId="17" xfId="0" applyBorder="1" applyAlignment="1">
      <alignment horizontal="left" vertical="top" wrapText="1"/>
    </xf>
    <xf numFmtId="0" fontId="7" fillId="0" borderId="47" xfId="0" applyFont="1" applyBorder="1" applyAlignment="1">
      <alignment vertical="top"/>
    </xf>
    <xf numFmtId="0" fontId="7" fillId="0" borderId="45" xfId="0" applyFont="1" applyBorder="1" applyAlignment="1">
      <alignment vertical="top"/>
    </xf>
    <xf numFmtId="0" fontId="8" fillId="0" borderId="45" xfId="0" applyFont="1" applyBorder="1" applyAlignment="1">
      <alignment horizontal="left" vertical="center"/>
    </xf>
    <xf numFmtId="0" fontId="8" fillId="0" borderId="26" xfId="0" applyFont="1" applyBorder="1" applyAlignment="1">
      <alignment horizontal="center" vertical="center" wrapText="1"/>
    </xf>
    <xf numFmtId="10" fontId="8" fillId="0" borderId="26" xfId="0" applyNumberFormat="1" applyFont="1" applyBorder="1" applyAlignment="1">
      <alignment horizontal="center" vertical="center" wrapText="1"/>
    </xf>
    <xf numFmtId="9" fontId="8" fillId="0" borderId="26" xfId="0" applyNumberFormat="1" applyFont="1" applyBorder="1" applyAlignment="1">
      <alignment horizontal="center" vertical="center" wrapText="1"/>
    </xf>
    <xf numFmtId="0" fontId="7" fillId="0" borderId="0" xfId="0" applyFont="1" applyAlignment="1">
      <alignment horizontal="left" vertical="top"/>
    </xf>
    <xf numFmtId="164" fontId="0" fillId="0" borderId="0" xfId="0" applyNumberFormat="1" applyAlignment="1">
      <alignment horizontal="center" vertical="top"/>
    </xf>
    <xf numFmtId="0" fontId="0" fillId="0" borderId="0" xfId="0" applyAlignment="1">
      <alignment vertical="top"/>
    </xf>
    <xf numFmtId="164" fontId="0" fillId="0" borderId="9" xfId="0" applyNumberFormat="1" applyBorder="1" applyAlignment="1">
      <alignment horizontal="center" vertical="top"/>
    </xf>
    <xf numFmtId="0" fontId="6" fillId="0" borderId="8" xfId="0" applyFont="1" applyBorder="1" applyAlignment="1">
      <alignment horizontal="left" vertical="top" wrapText="1"/>
    </xf>
    <xf numFmtId="0" fontId="10" fillId="0" borderId="6" xfId="0" applyFont="1" applyBorder="1" applyAlignment="1">
      <alignment horizontal="left" vertical="top" wrapText="1"/>
    </xf>
    <xf numFmtId="164" fontId="6" fillId="0" borderId="35" xfId="0" applyNumberFormat="1" applyFont="1" applyBorder="1" applyAlignment="1">
      <alignment horizontal="center" vertical="top" wrapText="1"/>
    </xf>
    <xf numFmtId="164" fontId="6" fillId="0" borderId="46" xfId="0" applyNumberFormat="1" applyFont="1" applyBorder="1" applyAlignment="1">
      <alignment horizontal="left" vertical="top" wrapText="1"/>
    </xf>
    <xf numFmtId="0" fontId="6" fillId="0" borderId="47" xfId="0" applyFont="1" applyBorder="1" applyAlignment="1">
      <alignment vertical="top" wrapText="1"/>
    </xf>
    <xf numFmtId="0" fontId="6" fillId="0" borderId="27" xfId="0" applyFont="1" applyBorder="1" applyAlignment="1">
      <alignment horizontal="center" vertical="top" wrapText="1"/>
    </xf>
    <xf numFmtId="0" fontId="6" fillId="0" borderId="28" xfId="0" applyFont="1" applyBorder="1" applyAlignment="1">
      <alignment horizontal="center" vertical="top" wrapText="1"/>
    </xf>
    <xf numFmtId="164" fontId="6" fillId="0" borderId="36" xfId="0" applyNumberFormat="1" applyFont="1" applyBorder="1" applyAlignment="1">
      <alignment horizontal="center" vertical="top" wrapText="1"/>
    </xf>
    <xf numFmtId="0" fontId="6" fillId="0" borderId="0" xfId="0" applyFont="1" applyAlignment="1">
      <alignment vertical="top" wrapText="1"/>
    </xf>
    <xf numFmtId="0" fontId="0" fillId="0" borderId="8" xfId="0" applyBorder="1" applyAlignment="1">
      <alignment horizontal="left" vertical="top" wrapText="1"/>
    </xf>
    <xf numFmtId="0" fontId="0" fillId="0" borderId="6" xfId="0" quotePrefix="1" applyBorder="1" applyAlignment="1">
      <alignment horizontal="left" vertical="top" wrapText="1"/>
    </xf>
    <xf numFmtId="164" fontId="0" fillId="0" borderId="35" xfId="0" applyNumberFormat="1" applyBorder="1" applyAlignment="1">
      <alignment horizontal="center" vertical="top" wrapText="1"/>
    </xf>
    <xf numFmtId="164" fontId="0" fillId="0" borderId="46" xfId="0" applyNumberFormat="1" applyBorder="1" applyAlignment="1">
      <alignment horizontal="center" vertical="top" wrapText="1"/>
    </xf>
    <xf numFmtId="0" fontId="0" fillId="0" borderId="48" xfId="0" applyBorder="1" applyAlignment="1">
      <alignment vertical="top"/>
    </xf>
    <xf numFmtId="0" fontId="0" fillId="0" borderId="22" xfId="0" applyBorder="1" applyAlignment="1">
      <alignment horizontal="center" vertical="top"/>
    </xf>
    <xf numFmtId="0" fontId="0" fillId="0" borderId="4" xfId="0" applyBorder="1" applyAlignment="1">
      <alignment horizontal="center" vertical="top"/>
    </xf>
    <xf numFmtId="164" fontId="0" fillId="0" borderId="37" xfId="0" applyNumberFormat="1" applyBorder="1" applyAlignment="1">
      <alignment horizontal="center" vertical="top"/>
    </xf>
    <xf numFmtId="0" fontId="0" fillId="0" borderId="46" xfId="0" applyBorder="1" applyAlignment="1">
      <alignment vertical="top"/>
    </xf>
    <xf numFmtId="0" fontId="7" fillId="0" borderId="20" xfId="0" applyFont="1" applyBorder="1" applyAlignment="1">
      <alignment horizontal="center" vertical="top"/>
    </xf>
    <xf numFmtId="0" fontId="0" fillId="0" borderId="6" xfId="0" applyBorder="1" applyAlignment="1">
      <alignment horizontal="center" vertical="top"/>
    </xf>
    <xf numFmtId="164" fontId="0" fillId="0" borderId="38" xfId="0" applyNumberFormat="1" applyBorder="1" applyAlignment="1">
      <alignment horizontal="center" vertical="top"/>
    </xf>
    <xf numFmtId="0" fontId="0" fillId="0" borderId="20" xfId="0" applyBorder="1" applyAlignment="1">
      <alignment horizontal="center" vertical="top"/>
    </xf>
    <xf numFmtId="0" fontId="0" fillId="0" borderId="0" xfId="0" quotePrefix="1" applyAlignment="1">
      <alignment horizontal="left" vertical="top" wrapText="1"/>
    </xf>
    <xf numFmtId="164" fontId="0" fillId="0" borderId="21" xfId="0" applyNumberFormat="1" applyBorder="1" applyAlignment="1">
      <alignment horizontal="center" vertical="top" wrapText="1"/>
    </xf>
    <xf numFmtId="164" fontId="0" fillId="0" borderId="49" xfId="0" applyNumberFormat="1" applyBorder="1" applyAlignment="1">
      <alignment horizontal="center" vertical="top" wrapText="1"/>
    </xf>
    <xf numFmtId="0" fontId="0" fillId="0" borderId="49" xfId="0" applyBorder="1" applyAlignment="1">
      <alignment vertical="top"/>
    </xf>
    <xf numFmtId="0" fontId="0" fillId="0" borderId="14" xfId="0" applyBorder="1" applyAlignment="1">
      <alignment horizontal="center" vertical="top"/>
    </xf>
    <xf numFmtId="0" fontId="14" fillId="0" borderId="0" xfId="3" applyFill="1"/>
    <xf numFmtId="0" fontId="0" fillId="0" borderId="13" xfId="0" applyBorder="1" applyAlignment="1">
      <alignment horizontal="left" vertical="top" wrapText="1"/>
    </xf>
    <xf numFmtId="0" fontId="0" fillId="0" borderId="5" xfId="0" quotePrefix="1" applyBorder="1" applyAlignment="1">
      <alignment horizontal="left" vertical="top" wrapText="1"/>
    </xf>
    <xf numFmtId="164" fontId="0" fillId="0" borderId="33" xfId="0" applyNumberFormat="1" applyBorder="1" applyAlignment="1">
      <alignment horizontal="center" vertical="top" wrapText="1"/>
    </xf>
    <xf numFmtId="164" fontId="0" fillId="0" borderId="50" xfId="0" applyNumberFormat="1" applyBorder="1" applyAlignment="1">
      <alignment horizontal="center" vertical="top" wrapText="1"/>
    </xf>
    <xf numFmtId="0" fontId="0" fillId="0" borderId="50" xfId="0" applyBorder="1" applyAlignment="1">
      <alignment vertical="top"/>
    </xf>
    <xf numFmtId="0" fontId="0" fillId="0" borderId="12" xfId="0" applyBorder="1" applyAlignment="1">
      <alignment horizontal="center" vertical="top"/>
    </xf>
    <xf numFmtId="0" fontId="0" fillId="0" borderId="5" xfId="0" applyBorder="1" applyAlignment="1">
      <alignment horizontal="center" vertical="top"/>
    </xf>
    <xf numFmtId="164" fontId="0" fillId="0" borderId="11" xfId="0" applyNumberFormat="1" applyBorder="1" applyAlignment="1">
      <alignment horizontal="center" vertical="top"/>
    </xf>
    <xf numFmtId="0" fontId="0" fillId="0" borderId="16" xfId="0" applyBorder="1" applyAlignment="1">
      <alignment horizontal="left" vertical="top" wrapText="1"/>
    </xf>
    <xf numFmtId="164" fontId="0" fillId="0" borderId="23" xfId="0" applyNumberFormat="1" applyBorder="1" applyAlignment="1">
      <alignment horizontal="center" vertical="top" wrapText="1"/>
    </xf>
    <xf numFmtId="164" fontId="0" fillId="0" borderId="51" xfId="0" applyNumberFormat="1" applyBorder="1" applyAlignment="1">
      <alignment horizontal="center" vertical="top" wrapText="1"/>
    </xf>
    <xf numFmtId="0" fontId="0" fillId="0" borderId="45" xfId="0" applyBorder="1" applyAlignment="1">
      <alignment vertical="top"/>
    </xf>
    <xf numFmtId="0" fontId="0" fillId="0" borderId="17" xfId="0" applyBorder="1" applyAlignment="1">
      <alignment horizontal="center" vertical="top"/>
    </xf>
    <xf numFmtId="0" fontId="0" fillId="0" borderId="50" xfId="0" applyBorder="1" applyAlignment="1">
      <alignment horizontal="center" vertical="top" wrapText="1"/>
    </xf>
    <xf numFmtId="164" fontId="0" fillId="0" borderId="39" xfId="0" applyNumberFormat="1" applyBorder="1" applyAlignment="1">
      <alignment horizontal="center" vertical="top"/>
    </xf>
    <xf numFmtId="0" fontId="0" fillId="0" borderId="4" xfId="0" quotePrefix="1" applyBorder="1" applyAlignment="1">
      <alignment horizontal="left" vertical="top" wrapText="1"/>
    </xf>
    <xf numFmtId="0" fontId="0" fillId="0" borderId="34" xfId="0" applyBorder="1" applyAlignment="1">
      <alignment vertical="top" wrapText="1"/>
    </xf>
    <xf numFmtId="0" fontId="0" fillId="0" borderId="18" xfId="0" applyBorder="1" applyAlignment="1">
      <alignment vertical="top" wrapText="1"/>
    </xf>
    <xf numFmtId="0" fontId="0" fillId="0" borderId="18" xfId="0" applyBorder="1" applyAlignment="1">
      <alignment horizontal="center" vertical="top" wrapText="1"/>
    </xf>
    <xf numFmtId="49" fontId="0" fillId="0" borderId="18" xfId="0" applyNumberFormat="1" applyBorder="1" applyAlignment="1">
      <alignment vertical="top" wrapText="1"/>
    </xf>
    <xf numFmtId="164" fontId="0" fillId="0" borderId="18" xfId="0" applyNumberFormat="1" applyBorder="1" applyAlignment="1">
      <alignment horizontal="center" vertical="top" wrapText="1"/>
    </xf>
    <xf numFmtId="0" fontId="0" fillId="0" borderId="19" xfId="0" applyBorder="1" applyAlignment="1">
      <alignment horizontal="center" vertical="top" wrapText="1"/>
    </xf>
    <xf numFmtId="0" fontId="0" fillId="0" borderId="52" xfId="0" applyBorder="1" applyAlignment="1">
      <alignment vertical="top" wrapText="1"/>
    </xf>
    <xf numFmtId="0" fontId="0" fillId="0" borderId="25" xfId="0" applyBorder="1" applyAlignment="1">
      <alignment vertical="top" wrapText="1"/>
    </xf>
    <xf numFmtId="0" fontId="0" fillId="0" borderId="41" xfId="0" applyBorder="1" applyAlignment="1">
      <alignment vertical="top" wrapText="1"/>
    </xf>
    <xf numFmtId="0" fontId="0" fillId="0" borderId="0" xfId="0" applyAlignment="1">
      <alignment vertical="top" wrapText="1"/>
    </xf>
    <xf numFmtId="0" fontId="0" fillId="0" borderId="49" xfId="0" applyBorder="1" applyAlignment="1">
      <alignment vertical="top" wrapText="1"/>
    </xf>
    <xf numFmtId="0" fontId="15" fillId="0" borderId="53" xfId="0" applyFont="1" applyBorder="1" applyAlignment="1">
      <alignment horizontal="center" vertical="top" wrapText="1"/>
    </xf>
    <xf numFmtId="0" fontId="15" fillId="0" borderId="42" xfId="0" applyFont="1" applyBorder="1" applyAlignment="1">
      <alignment horizontal="center" vertical="top" wrapText="1"/>
    </xf>
    <xf numFmtId="0" fontId="0" fillId="0" borderId="5" xfId="0" applyBorder="1" applyAlignment="1">
      <alignment vertical="top"/>
    </xf>
    <xf numFmtId="0" fontId="12" fillId="0" borderId="63" xfId="0" applyFont="1" applyBorder="1" applyAlignment="1">
      <alignment horizontal="left" vertical="top" wrapText="1"/>
    </xf>
    <xf numFmtId="0" fontId="0" fillId="0" borderId="64" xfId="0" applyBorder="1" applyAlignment="1">
      <alignment horizontal="left" vertical="top" wrapText="1"/>
    </xf>
    <xf numFmtId="0" fontId="0" fillId="0" borderId="64" xfId="0" applyBorder="1" applyAlignment="1">
      <alignment horizontal="left" vertical="top"/>
    </xf>
    <xf numFmtId="0" fontId="0" fillId="0" borderId="64" xfId="0" applyBorder="1" applyAlignment="1">
      <alignment horizontal="center" vertical="top"/>
    </xf>
    <xf numFmtId="164" fontId="0" fillId="0" borderId="65" xfId="0" applyNumberFormat="1" applyBorder="1" applyAlignment="1">
      <alignment horizontal="center" vertical="top"/>
    </xf>
    <xf numFmtId="0" fontId="0" fillId="0" borderId="66" xfId="0" applyBorder="1" applyAlignment="1">
      <alignment horizontal="center" vertical="top"/>
    </xf>
    <xf numFmtId="0" fontId="0" fillId="0" borderId="66" xfId="0" applyBorder="1" applyAlignment="1">
      <alignment vertical="top"/>
    </xf>
    <xf numFmtId="0" fontId="0" fillId="0" borderId="67" xfId="0" applyBorder="1" applyAlignment="1">
      <alignment horizontal="center" vertical="top"/>
    </xf>
    <xf numFmtId="0" fontId="0" fillId="0" borderId="68" xfId="0" applyBorder="1" applyAlignment="1">
      <alignment horizontal="center" vertical="top"/>
    </xf>
    <xf numFmtId="164" fontId="0" fillId="0" borderId="69" xfId="0" applyNumberFormat="1" applyBorder="1" applyAlignment="1">
      <alignment horizontal="center" vertical="top"/>
    </xf>
    <xf numFmtId="0" fontId="0" fillId="0" borderId="55" xfId="0" applyBorder="1" applyAlignment="1">
      <alignment vertical="top"/>
    </xf>
    <xf numFmtId="0" fontId="0" fillId="0" borderId="55" xfId="0" applyBorder="1"/>
    <xf numFmtId="0" fontId="7" fillId="0" borderId="14" xfId="0" applyFont="1" applyBorder="1" applyAlignment="1">
      <alignment horizontal="center" vertical="top"/>
    </xf>
    <xf numFmtId="0" fontId="0" fillId="0" borderId="6" xfId="0" applyBorder="1" applyAlignment="1">
      <alignment vertical="top"/>
    </xf>
    <xf numFmtId="0" fontId="0" fillId="0" borderId="6" xfId="0" applyBorder="1"/>
    <xf numFmtId="0" fontId="0" fillId="0" borderId="25" xfId="0" applyBorder="1" applyAlignment="1">
      <alignment horizontal="left" vertical="top" wrapText="1"/>
    </xf>
    <xf numFmtId="0" fontId="12" fillId="0" borderId="30" xfId="0" applyFont="1" applyBorder="1" applyAlignment="1">
      <alignment horizontal="left" vertical="top" wrapText="1"/>
    </xf>
    <xf numFmtId="0" fontId="0" fillId="0" borderId="31" xfId="0" applyBorder="1" applyAlignment="1">
      <alignment horizontal="left" vertical="top" wrapText="1"/>
    </xf>
    <xf numFmtId="0" fontId="0" fillId="0" borderId="31" xfId="0" applyBorder="1" applyAlignment="1">
      <alignment horizontal="left" vertical="top"/>
    </xf>
    <xf numFmtId="0" fontId="0" fillId="0" borderId="31" xfId="0" applyBorder="1" applyAlignment="1">
      <alignment horizontal="center" vertical="top"/>
    </xf>
    <xf numFmtId="164" fontId="0" fillId="0" borderId="32" xfId="0" applyNumberFormat="1" applyBorder="1" applyAlignment="1">
      <alignment horizontal="center" vertical="top"/>
    </xf>
    <xf numFmtId="0" fontId="0" fillId="0" borderId="48" xfId="0" applyBorder="1" applyAlignment="1">
      <alignment horizontal="center" vertical="top"/>
    </xf>
    <xf numFmtId="0" fontId="0" fillId="0" borderId="49" xfId="0" applyBorder="1" applyAlignment="1">
      <alignment horizontal="center" vertical="top" wrapText="1"/>
    </xf>
    <xf numFmtId="0" fontId="0" fillId="0" borderId="33" xfId="0" applyBorder="1" applyAlignment="1">
      <alignment horizontal="center" vertical="top" wrapText="1"/>
    </xf>
    <xf numFmtId="0" fontId="16" fillId="0" borderId="13" xfId="0" applyFont="1" applyBorder="1" applyAlignment="1">
      <alignment horizontal="left" vertical="top" wrapText="1"/>
    </xf>
    <xf numFmtId="0" fontId="16" fillId="0" borderId="5" xfId="0" applyFont="1" applyBorder="1" applyAlignment="1">
      <alignment horizontal="left" vertical="top" wrapText="1"/>
    </xf>
    <xf numFmtId="0" fontId="11" fillId="0" borderId="10" xfId="0" applyFont="1" applyBorder="1" applyAlignment="1">
      <alignment horizontal="left" vertical="top" wrapText="1"/>
    </xf>
    <xf numFmtId="0" fontId="11" fillId="0" borderId="0" xfId="0" applyFont="1" applyAlignment="1">
      <alignment horizontal="left" vertical="top" wrapText="1"/>
    </xf>
    <xf numFmtId="0" fontId="11" fillId="0" borderId="16" xfId="0" applyFont="1" applyBorder="1" applyAlignment="1">
      <alignment horizontal="left" vertical="top" wrapText="1"/>
    </xf>
    <xf numFmtId="0" fontId="11" fillId="0" borderId="4" xfId="0" applyFont="1" applyBorder="1" applyAlignment="1">
      <alignment horizontal="left" vertical="top" wrapText="1"/>
    </xf>
    <xf numFmtId="0" fontId="0" fillId="0" borderId="15" xfId="0" applyBorder="1" applyAlignment="1">
      <alignment horizontal="left" vertical="top" wrapText="1"/>
    </xf>
    <xf numFmtId="164" fontId="0" fillId="0" borderId="26" xfId="0" applyNumberFormat="1" applyBorder="1" applyAlignment="1">
      <alignment horizontal="center" vertical="top" wrapText="1"/>
    </xf>
    <xf numFmtId="164" fontId="0" fillId="0" borderId="45" xfId="0" applyNumberFormat="1" applyBorder="1" applyAlignment="1">
      <alignment horizontal="center" vertical="top" wrapText="1"/>
    </xf>
    <xf numFmtId="0" fontId="0" fillId="0" borderId="24" xfId="0" applyBorder="1" applyAlignment="1">
      <alignment horizontal="center" vertical="top"/>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8" xfId="0" applyBorder="1" applyAlignment="1">
      <alignment horizontal="center" vertical="top" wrapText="1"/>
    </xf>
    <xf numFmtId="0" fontId="0" fillId="0" borderId="28" xfId="0" quotePrefix="1" applyBorder="1" applyAlignment="1">
      <alignment horizontal="left" vertical="top" wrapText="1"/>
    </xf>
    <xf numFmtId="164" fontId="0" fillId="0" borderId="29" xfId="0" applyNumberFormat="1" applyBorder="1" applyAlignment="1">
      <alignment horizontal="center" vertical="top" wrapText="1"/>
    </xf>
    <xf numFmtId="164" fontId="0" fillId="0" borderId="47" xfId="0" applyNumberFormat="1" applyBorder="1" applyAlignment="1">
      <alignment horizontal="center" vertical="top" wrapText="1"/>
    </xf>
    <xf numFmtId="0" fontId="0" fillId="0" borderId="47" xfId="0" applyBorder="1" applyAlignment="1">
      <alignment horizontal="left" vertical="top" wrapText="1"/>
    </xf>
    <xf numFmtId="0" fontId="0" fillId="0" borderId="27" xfId="0" applyBorder="1" applyAlignment="1">
      <alignment horizontal="center" vertical="top"/>
    </xf>
    <xf numFmtId="0" fontId="0" fillId="0" borderId="28" xfId="0" applyBorder="1" applyAlignment="1">
      <alignment horizontal="center" vertical="top"/>
    </xf>
    <xf numFmtId="164" fontId="0" fillId="0" borderId="36" xfId="0" applyNumberFormat="1" applyBorder="1" applyAlignment="1">
      <alignment horizontal="center" vertical="top"/>
    </xf>
    <xf numFmtId="49" fontId="0" fillId="0" borderId="0" xfId="0" applyNumberFormat="1" applyAlignment="1">
      <alignment vertical="top" wrapText="1"/>
    </xf>
    <xf numFmtId="0" fontId="0" fillId="0" borderId="24" xfId="0" applyBorder="1" applyAlignment="1">
      <alignment vertical="top" wrapText="1"/>
    </xf>
    <xf numFmtId="0" fontId="0" fillId="0" borderId="25" xfId="0" applyBorder="1" applyAlignment="1">
      <alignment horizontal="center" vertical="top" wrapText="1"/>
    </xf>
    <xf numFmtId="0" fontId="0" fillId="0" borderId="45" xfId="0" applyBorder="1" applyAlignment="1">
      <alignment vertical="top" wrapText="1"/>
    </xf>
    <xf numFmtId="0" fontId="15" fillId="0" borderId="43" xfId="0" applyFont="1" applyBorder="1" applyAlignment="1">
      <alignment horizontal="center" vertical="top" wrapText="1"/>
    </xf>
    <xf numFmtId="0" fontId="15" fillId="0" borderId="44" xfId="0" applyFont="1" applyBorder="1" applyAlignment="1">
      <alignment horizontal="center" vertical="top" wrapText="1"/>
    </xf>
    <xf numFmtId="164" fontId="0" fillId="0" borderId="40" xfId="0" applyNumberFormat="1" applyBorder="1" applyAlignment="1">
      <alignment horizontal="center" vertical="top"/>
    </xf>
    <xf numFmtId="0" fontId="8" fillId="0" borderId="52"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9" xfId="0" applyFont="1" applyBorder="1" applyAlignment="1">
      <alignment horizontal="center" vertical="center" wrapText="1"/>
    </xf>
    <xf numFmtId="0" fontId="6" fillId="0" borderId="7" xfId="0" applyFont="1" applyBorder="1" applyAlignment="1">
      <alignment horizontal="center"/>
    </xf>
    <xf numFmtId="0" fontId="6" fillId="0" borderId="8" xfId="0" applyFont="1" applyBorder="1" applyAlignment="1">
      <alignment horizontal="center"/>
    </xf>
    <xf numFmtId="0" fontId="0" fillId="0" borderId="0" xfId="0" applyAlignment="1">
      <alignment horizontal="left"/>
    </xf>
    <xf numFmtId="0" fontId="6" fillId="9" borderId="8" xfId="0" applyFont="1" applyFill="1" applyBorder="1" applyAlignment="1">
      <alignment horizontal="center"/>
    </xf>
    <xf numFmtId="0" fontId="6" fillId="9" borderId="6" xfId="0" applyFont="1" applyFill="1" applyBorder="1" applyAlignment="1">
      <alignment horizontal="center"/>
    </xf>
    <xf numFmtId="0" fontId="6" fillId="9" borderId="38" xfId="0" applyFont="1" applyFill="1" applyBorder="1" applyAlignment="1">
      <alignment horizontal="center"/>
    </xf>
    <xf numFmtId="0" fontId="6" fillId="0" borderId="62" xfId="0" applyFont="1" applyBorder="1" applyAlignment="1">
      <alignment horizontal="center"/>
    </xf>
    <xf numFmtId="0" fontId="6" fillId="0" borderId="0" xfId="0" applyFont="1" applyAlignment="1">
      <alignment horizontal="left" vertical="top"/>
    </xf>
  </cellXfs>
  <cellStyles count="5">
    <cellStyle name="Bad" xfId="4" builtinId="27"/>
    <cellStyle name="Currency" xfId="1" builtinId="4"/>
    <cellStyle name="Hyperlink" xfId="3" builtinId="8"/>
    <cellStyle name="Normal" xfId="0" builtinId="0"/>
    <cellStyle name="Percent"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science/article/pii/S1054139X22006504" TargetMode="External"/><Relationship Id="rId13" Type="http://schemas.openxmlformats.org/officeDocument/2006/relationships/hyperlink" Target="https://acamh.onlinelibrary.wiley.com/doi/abs/10.1111/j.1475-3588.2007.00461.x" TargetMode="External"/><Relationship Id="rId18" Type="http://schemas.openxmlformats.org/officeDocument/2006/relationships/hyperlink" Target="https://acamh.onlinelibrary.wiley.com/doi/abs/10.1111/j.1475-3588.2007.00461.x" TargetMode="External"/><Relationship Id="rId3" Type="http://schemas.openxmlformats.org/officeDocument/2006/relationships/hyperlink" Target="https://link.springer.com/article/10.1186/s12888-016-1178-x" TargetMode="External"/><Relationship Id="rId7" Type="http://schemas.openxmlformats.org/officeDocument/2006/relationships/hyperlink" Target="https://link.springer.com/content/pdf/10.1007/s10578-023-01553-6.pdf" TargetMode="External"/><Relationship Id="rId12" Type="http://schemas.openxmlformats.org/officeDocument/2006/relationships/hyperlink" Target="https://acamh.onlinelibrary.wiley.com/doi/abs/10.1111/j.1475-3588.2007.00461.x" TargetMode="External"/><Relationship Id="rId17" Type="http://schemas.openxmlformats.org/officeDocument/2006/relationships/hyperlink" Target="https://acamh.onlinelibrary.wiley.com/doi/abs/10.1111/j.1475-3588.2007.00461.x" TargetMode="External"/><Relationship Id="rId2" Type="http://schemas.openxmlformats.org/officeDocument/2006/relationships/hyperlink" Target="https://pmc.ncbi.nlm.nih.gov/articles/PMC2242646/" TargetMode="External"/><Relationship Id="rId16" Type="http://schemas.openxmlformats.org/officeDocument/2006/relationships/hyperlink" Target="https://link.springer.com/article/10.1186/s13034-024-00763-7" TargetMode="External"/><Relationship Id="rId20" Type="http://schemas.openxmlformats.org/officeDocument/2006/relationships/printerSettings" Target="../printerSettings/printerSettings1.bin"/><Relationship Id="rId1" Type="http://schemas.openxmlformats.org/officeDocument/2006/relationships/hyperlink" Target="https://capp.ucsf.edu/sites/g/files/tkssra6871/f/SMFQ%20Scoring.pdf" TargetMode="External"/><Relationship Id="rId6" Type="http://schemas.openxmlformats.org/officeDocument/2006/relationships/hyperlink" Target="https://link.springer.com/article/10.1007/s10578-023-01553-6" TargetMode="External"/><Relationship Id="rId11" Type="http://schemas.openxmlformats.org/officeDocument/2006/relationships/hyperlink" Target="https://www.sciencedirect.com/science/article/pii/S0376871619300626" TargetMode="External"/><Relationship Id="rId5" Type="http://schemas.openxmlformats.org/officeDocument/2006/relationships/hyperlink" Target="https://link.springer.com/article/10.1007/s10578-023-01553-6" TargetMode="External"/><Relationship Id="rId15" Type="http://schemas.openxmlformats.org/officeDocument/2006/relationships/hyperlink" Target="https://acamh.onlinelibrary.wiley.com/doi/abs/10.1111/j.1475-3588.2007.00461.x" TargetMode="External"/><Relationship Id="rId10" Type="http://schemas.openxmlformats.org/officeDocument/2006/relationships/hyperlink" Target="https://link.springer.com/content/pdf/10.1007/s10578-023-01553-6.pdf" TargetMode="External"/><Relationship Id="rId19" Type="http://schemas.openxmlformats.org/officeDocument/2006/relationships/hyperlink" Target="https://acamh.onlinelibrary.wiley.com/doi/abs/10.1111/j.1475-3588.2007.00461.x" TargetMode="External"/><Relationship Id="rId4" Type="http://schemas.openxmlformats.org/officeDocument/2006/relationships/hyperlink" Target="https://www.tandfonline.com/doi/full/10.1080/15374416.2017.1350962" TargetMode="External"/><Relationship Id="rId9" Type="http://schemas.openxmlformats.org/officeDocument/2006/relationships/hyperlink" Target="https://link.springer.com/article/10.1007/s00787-006-0557-0" TargetMode="External"/><Relationship Id="rId14" Type="http://schemas.openxmlformats.org/officeDocument/2006/relationships/hyperlink" Target="https://acamh.onlinelibrary.wiley.com/doi/abs/10.1111/j.1475-3588.2007.00461.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E39A0-85CA-4EB4-B0F2-A25CA34B093B}">
  <dimension ref="A1:A14"/>
  <sheetViews>
    <sheetView topLeftCell="A36" workbookViewId="0">
      <selection activeCell="A19" sqref="A19"/>
    </sheetView>
  </sheetViews>
  <sheetFormatPr defaultRowHeight="14.45"/>
  <cols>
    <col min="1" max="1" width="102.7109375" customWidth="1"/>
  </cols>
  <sheetData>
    <row r="1" spans="1:1" ht="14.65" thickBot="1">
      <c r="A1" s="1" t="s">
        <v>0</v>
      </c>
    </row>
    <row r="2" spans="1:1">
      <c r="A2" s="2" t="s">
        <v>1</v>
      </c>
    </row>
    <row r="3" spans="1:1" ht="41.1">
      <c r="A3" s="3" t="s">
        <v>2</v>
      </c>
    </row>
    <row r="4" spans="1:1">
      <c r="A4" s="3"/>
    </row>
    <row r="5" spans="1:1">
      <c r="A5" s="3" t="s">
        <v>3</v>
      </c>
    </row>
    <row r="6" spans="1:1">
      <c r="A6" s="3"/>
    </row>
    <row r="7" spans="1:1">
      <c r="A7" s="3" t="s">
        <v>4</v>
      </c>
    </row>
    <row r="8" spans="1:1">
      <c r="A8" s="3" t="s">
        <v>5</v>
      </c>
    </row>
    <row r="9" spans="1:1">
      <c r="A9" s="3"/>
    </row>
    <row r="10" spans="1:1">
      <c r="A10" s="3" t="s">
        <v>3</v>
      </c>
    </row>
    <row r="11" spans="1:1">
      <c r="A11" s="3"/>
    </row>
    <row r="12" spans="1:1">
      <c r="A12" s="3" t="s">
        <v>6</v>
      </c>
    </row>
    <row r="13" spans="1:1" ht="96" thickBot="1">
      <c r="A13" s="4" t="s">
        <v>7</v>
      </c>
    </row>
    <row r="14" spans="1:1">
      <c r="A14"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B7353-0143-4159-91DC-3B080D51196D}">
  <dimension ref="A1:AC129"/>
  <sheetViews>
    <sheetView tabSelected="1" zoomScale="110" zoomScaleNormal="145" workbookViewId="0">
      <pane ySplit="2" topLeftCell="A3" activePane="bottomLeft" state="frozen"/>
      <selection pane="bottomLeft" activeCell="A2" sqref="A2:XFD2"/>
    </sheetView>
  </sheetViews>
  <sheetFormatPr defaultRowHeight="14.45"/>
  <cols>
    <col min="1" max="2" width="39.140625" style="41" customWidth="1"/>
    <col min="3" max="3" width="28.140625" style="41" customWidth="1"/>
    <col min="4" max="4" width="21.5703125" style="41" customWidth="1"/>
    <col min="5" max="5" width="16.5703125" style="41" customWidth="1"/>
    <col min="6" max="6" width="23.5703125" style="41" customWidth="1"/>
    <col min="7" max="7" width="16.5703125" style="41" customWidth="1"/>
    <col min="8" max="8" width="17.42578125" style="41" customWidth="1"/>
    <col min="9" max="9" width="16.5703125" style="166" customWidth="1"/>
    <col min="10" max="10" width="8.85546875" style="166" customWidth="1"/>
    <col min="11" max="11" width="16.5703125" style="41" customWidth="1"/>
    <col min="12" max="12" width="12.42578125" style="166" customWidth="1"/>
    <col min="13" max="13" width="30.140625" style="41" customWidth="1"/>
    <col min="14" max="14" width="14.42578125" style="41" customWidth="1"/>
    <col min="15" max="15" width="37.42578125" style="40" customWidth="1"/>
    <col min="16" max="16" width="25.7109375" style="40" customWidth="1"/>
    <col min="17" max="17" width="8.85546875" style="41" customWidth="1"/>
    <col min="18" max="18" width="11.42578125" style="260" customWidth="1"/>
    <col min="19" max="19" width="16.140625" style="260" customWidth="1"/>
    <col min="20" max="20" width="9.7109375" style="261" customWidth="1"/>
    <col min="21" max="22" width="12.42578125" style="166" customWidth="1"/>
    <col min="23" max="23" width="8.85546875" style="262"/>
    <col min="24" max="24" width="22.140625" style="261" customWidth="1"/>
  </cols>
  <sheetData>
    <row r="1" spans="1:24" ht="14.65" thickBot="1">
      <c r="A1" s="259" t="s">
        <v>8</v>
      </c>
      <c r="B1" s="259"/>
      <c r="O1" s="41"/>
      <c r="P1" s="41"/>
    </row>
    <row r="2" spans="1:24" s="43" customFormat="1" ht="29.45" thickTop="1" thickBot="1">
      <c r="A2" s="263" t="s">
        <v>9</v>
      </c>
      <c r="B2" s="44" t="s">
        <v>9</v>
      </c>
      <c r="C2" s="44" t="s">
        <v>10</v>
      </c>
      <c r="D2" s="44" t="s">
        <v>11</v>
      </c>
      <c r="E2" s="44" t="s">
        <v>12</v>
      </c>
      <c r="F2" s="264" t="s">
        <v>13</v>
      </c>
      <c r="G2" s="44" t="s">
        <v>14</v>
      </c>
      <c r="H2" s="44" t="s">
        <v>15</v>
      </c>
      <c r="I2" s="44" t="s">
        <v>16</v>
      </c>
      <c r="J2" s="44" t="s">
        <v>17</v>
      </c>
      <c r="K2" s="44" t="s">
        <v>18</v>
      </c>
      <c r="L2" s="44" t="s">
        <v>19</v>
      </c>
      <c r="M2" s="44" t="s">
        <v>20</v>
      </c>
      <c r="N2" s="44" t="s">
        <v>21</v>
      </c>
      <c r="O2" s="44" t="s">
        <v>22</v>
      </c>
      <c r="P2" s="44" t="s">
        <v>23</v>
      </c>
      <c r="Q2" s="44" t="s">
        <v>24</v>
      </c>
      <c r="R2" s="265" t="s">
        <v>25</v>
      </c>
      <c r="S2" s="266" t="s">
        <v>26</v>
      </c>
      <c r="T2" s="267" t="s">
        <v>27</v>
      </c>
      <c r="U2" s="268" t="s">
        <v>28</v>
      </c>
      <c r="V2" s="269" t="s">
        <v>29</v>
      </c>
      <c r="W2" s="270" t="s">
        <v>30</v>
      </c>
      <c r="X2" s="271" t="s">
        <v>31</v>
      </c>
    </row>
    <row r="3" spans="1:24" ht="72.75">
      <c r="A3" s="272" t="s">
        <v>32</v>
      </c>
      <c r="B3" s="42" t="s">
        <v>33</v>
      </c>
      <c r="C3" s="42" t="s">
        <v>34</v>
      </c>
      <c r="D3" s="42" t="s">
        <v>35</v>
      </c>
      <c r="E3" s="42">
        <v>2018</v>
      </c>
      <c r="F3" s="42" t="s">
        <v>36</v>
      </c>
      <c r="G3" s="42" t="s">
        <v>37</v>
      </c>
      <c r="H3" s="42" t="s">
        <v>38</v>
      </c>
      <c r="I3" s="64">
        <v>3751</v>
      </c>
      <c r="J3" s="64">
        <v>17.03</v>
      </c>
      <c r="K3" s="273" t="s">
        <v>39</v>
      </c>
      <c r="L3" s="64">
        <v>51.2</v>
      </c>
      <c r="M3" s="42" t="s">
        <v>40</v>
      </c>
      <c r="N3" s="42" t="s">
        <v>41</v>
      </c>
      <c r="O3" s="42" t="s">
        <v>42</v>
      </c>
      <c r="P3" s="42" t="s">
        <v>43</v>
      </c>
      <c r="Q3" s="42" t="s">
        <v>44</v>
      </c>
      <c r="R3" s="274">
        <v>11.7</v>
      </c>
      <c r="S3" s="275" t="s">
        <v>45</v>
      </c>
      <c r="T3" s="276" t="s">
        <v>46</v>
      </c>
      <c r="U3" s="277" t="s">
        <v>47</v>
      </c>
      <c r="V3" s="278">
        <v>0.74</v>
      </c>
      <c r="W3" s="279">
        <v>1.1040000000000001</v>
      </c>
      <c r="X3" s="187" t="s">
        <v>48</v>
      </c>
    </row>
    <row r="4" spans="1:24" ht="86.65" thickTop="1" thickBot="1">
      <c r="A4" s="272" t="s">
        <v>49</v>
      </c>
      <c r="B4" s="42" t="s">
        <v>50</v>
      </c>
      <c r="C4" s="42" t="s">
        <v>34</v>
      </c>
      <c r="D4" s="42" t="s">
        <v>35</v>
      </c>
      <c r="E4" s="42">
        <v>2016</v>
      </c>
      <c r="F4" s="42" t="s">
        <v>51</v>
      </c>
      <c r="G4" s="42" t="s">
        <v>37</v>
      </c>
      <c r="H4" s="42" t="s">
        <v>52</v>
      </c>
      <c r="I4" s="64">
        <v>789</v>
      </c>
      <c r="J4" s="64" t="s">
        <v>53</v>
      </c>
      <c r="K4" s="42" t="s">
        <v>54</v>
      </c>
      <c r="L4" s="64">
        <v>58</v>
      </c>
      <c r="M4" s="42" t="s">
        <v>40</v>
      </c>
      <c r="N4" s="42" t="s">
        <v>41</v>
      </c>
      <c r="O4" s="42" t="s">
        <v>55</v>
      </c>
      <c r="P4" s="42" t="s">
        <v>56</v>
      </c>
      <c r="Q4" s="42" t="s">
        <v>44</v>
      </c>
      <c r="R4" s="274">
        <v>33</v>
      </c>
      <c r="S4" s="275" t="s">
        <v>57</v>
      </c>
      <c r="T4" s="280" t="s">
        <v>46</v>
      </c>
      <c r="U4" s="281" t="s">
        <v>58</v>
      </c>
      <c r="V4" s="282" t="s">
        <v>59</v>
      </c>
      <c r="W4" s="283">
        <v>14.36</v>
      </c>
      <c r="X4" s="187" t="s">
        <v>60</v>
      </c>
    </row>
    <row r="5" spans="1:24" ht="87">
      <c r="A5" s="272" t="s">
        <v>61</v>
      </c>
      <c r="B5" s="42" t="s">
        <v>62</v>
      </c>
      <c r="C5" s="42" t="s">
        <v>63</v>
      </c>
      <c r="D5" s="42" t="s">
        <v>35</v>
      </c>
      <c r="E5" s="42">
        <v>2014</v>
      </c>
      <c r="F5" s="42" t="s">
        <v>64</v>
      </c>
      <c r="G5" s="42" t="s">
        <v>37</v>
      </c>
      <c r="H5" s="42" t="s">
        <v>52</v>
      </c>
      <c r="I5" s="64">
        <v>719</v>
      </c>
      <c r="J5" s="64">
        <v>15.5</v>
      </c>
      <c r="K5" s="273" t="s">
        <v>65</v>
      </c>
      <c r="L5" s="64">
        <v>34</v>
      </c>
      <c r="M5" s="42" t="s">
        <v>66</v>
      </c>
      <c r="N5" s="42" t="s">
        <v>67</v>
      </c>
      <c r="O5" s="42" t="s">
        <v>68</v>
      </c>
      <c r="P5" s="42" t="s">
        <v>69</v>
      </c>
      <c r="Q5" s="42" t="s">
        <v>44</v>
      </c>
      <c r="R5" s="274">
        <v>29.5</v>
      </c>
      <c r="S5" s="275" t="s">
        <v>70</v>
      </c>
      <c r="T5" s="280" t="s">
        <v>46</v>
      </c>
      <c r="U5" s="284" t="s">
        <v>54</v>
      </c>
      <c r="V5" s="282" t="s">
        <v>54</v>
      </c>
      <c r="W5" s="283">
        <v>29.5</v>
      </c>
    </row>
    <row r="6" spans="1:24" ht="43.35" thickTop="1">
      <c r="A6" s="45" t="s">
        <v>71</v>
      </c>
      <c r="B6" s="40" t="s">
        <v>72</v>
      </c>
      <c r="C6" s="40" t="s">
        <v>63</v>
      </c>
      <c r="D6" s="40" t="s">
        <v>73</v>
      </c>
      <c r="E6" s="40">
        <v>2013</v>
      </c>
      <c r="F6" s="40" t="s">
        <v>74</v>
      </c>
      <c r="G6" s="40" t="s">
        <v>37</v>
      </c>
      <c r="H6" s="40" t="s">
        <v>38</v>
      </c>
      <c r="I6" s="135">
        <v>1025</v>
      </c>
      <c r="J6" s="135" t="s">
        <v>53</v>
      </c>
      <c r="K6" s="285" t="s">
        <v>75</v>
      </c>
      <c r="L6" s="135">
        <v>49.2</v>
      </c>
      <c r="M6" s="40" t="s">
        <v>76</v>
      </c>
      <c r="N6" s="40" t="s">
        <v>41</v>
      </c>
      <c r="O6" s="40" t="s">
        <v>77</v>
      </c>
      <c r="P6" s="40" t="s">
        <v>78</v>
      </c>
      <c r="Q6" s="40" t="s">
        <v>79</v>
      </c>
      <c r="R6" s="286">
        <v>41</v>
      </c>
      <c r="S6" s="287" t="s">
        <v>80</v>
      </c>
      <c r="T6" s="288" t="s">
        <v>46</v>
      </c>
      <c r="U6" s="289">
        <v>0.54</v>
      </c>
      <c r="V6" s="166">
        <v>0.89</v>
      </c>
      <c r="W6" s="262">
        <v>81.040000000000006</v>
      </c>
      <c r="X6" s="290" t="s">
        <v>81</v>
      </c>
    </row>
    <row r="7" spans="1:24" ht="28.7">
      <c r="A7" s="45"/>
      <c r="B7" s="40" t="s">
        <v>72</v>
      </c>
      <c r="C7" s="40" t="s">
        <v>63</v>
      </c>
      <c r="D7" s="40" t="s">
        <v>82</v>
      </c>
      <c r="E7" s="40">
        <v>2013</v>
      </c>
      <c r="F7" s="40" t="s">
        <v>74</v>
      </c>
      <c r="G7" s="40" t="s">
        <v>37</v>
      </c>
      <c r="H7" s="40" t="s">
        <v>38</v>
      </c>
      <c r="I7" s="135">
        <v>1025</v>
      </c>
      <c r="J7" s="135" t="s">
        <v>53</v>
      </c>
      <c r="K7" s="285" t="s">
        <v>75</v>
      </c>
      <c r="L7" s="135">
        <v>49.2</v>
      </c>
      <c r="M7" s="40" t="s">
        <v>66</v>
      </c>
      <c r="N7" s="40" t="s">
        <v>41</v>
      </c>
      <c r="O7" s="40" t="s">
        <v>83</v>
      </c>
      <c r="P7" s="40" t="s">
        <v>84</v>
      </c>
      <c r="Q7" s="40" t="s">
        <v>85</v>
      </c>
      <c r="R7" s="286">
        <v>23.9</v>
      </c>
      <c r="S7" s="287" t="s">
        <v>86</v>
      </c>
      <c r="T7" s="288"/>
      <c r="U7" s="289"/>
      <c r="W7" s="262">
        <v>9.1479999999999997</v>
      </c>
    </row>
    <row r="8" spans="1:24" ht="28.7">
      <c r="A8" s="45"/>
      <c r="B8" s="40" t="s">
        <v>72</v>
      </c>
      <c r="C8" s="40" t="s">
        <v>63</v>
      </c>
      <c r="D8" s="40" t="s">
        <v>73</v>
      </c>
      <c r="E8" s="40">
        <v>2013</v>
      </c>
      <c r="F8" s="40" t="s">
        <v>74</v>
      </c>
      <c r="G8" s="40" t="s">
        <v>37</v>
      </c>
      <c r="H8" s="40" t="s">
        <v>38</v>
      </c>
      <c r="I8" s="135">
        <v>1025</v>
      </c>
      <c r="J8" s="135" t="s">
        <v>53</v>
      </c>
      <c r="K8" s="285" t="s">
        <v>75</v>
      </c>
      <c r="L8" s="135">
        <v>49.2</v>
      </c>
      <c r="M8" s="40" t="s">
        <v>87</v>
      </c>
      <c r="N8" s="40" t="s">
        <v>41</v>
      </c>
      <c r="O8" s="40" t="s">
        <v>77</v>
      </c>
      <c r="P8" s="40" t="s">
        <v>88</v>
      </c>
      <c r="Q8" s="40" t="s">
        <v>79</v>
      </c>
      <c r="R8" s="286">
        <v>15.2</v>
      </c>
      <c r="S8" s="287" t="s">
        <v>89</v>
      </c>
      <c r="T8" s="288"/>
      <c r="U8" s="289">
        <v>0.75</v>
      </c>
      <c r="V8" s="166">
        <v>0.91</v>
      </c>
      <c r="W8" s="262">
        <v>9.5120000000000005</v>
      </c>
      <c r="X8" s="290" t="s">
        <v>81</v>
      </c>
    </row>
    <row r="9" spans="1:24" ht="29.25">
      <c r="A9" s="45"/>
      <c r="B9" s="40" t="s">
        <v>72</v>
      </c>
      <c r="C9" s="40" t="s">
        <v>63</v>
      </c>
      <c r="D9" s="40" t="s">
        <v>82</v>
      </c>
      <c r="E9" s="40">
        <v>2013</v>
      </c>
      <c r="F9" s="40" t="s">
        <v>74</v>
      </c>
      <c r="G9" s="40" t="s">
        <v>37</v>
      </c>
      <c r="H9" s="40" t="s">
        <v>38</v>
      </c>
      <c r="I9" s="135">
        <v>1025</v>
      </c>
      <c r="J9" s="135" t="s">
        <v>53</v>
      </c>
      <c r="K9" s="285" t="s">
        <v>75</v>
      </c>
      <c r="L9" s="135">
        <v>49.2</v>
      </c>
      <c r="M9" s="40" t="s">
        <v>90</v>
      </c>
      <c r="N9" s="40" t="s">
        <v>41</v>
      </c>
      <c r="O9" s="40" t="s">
        <v>91</v>
      </c>
      <c r="P9" s="40" t="s">
        <v>92</v>
      </c>
      <c r="Q9" s="40" t="s">
        <v>93</v>
      </c>
      <c r="R9" s="286">
        <v>14.1</v>
      </c>
      <c r="S9" s="287" t="s">
        <v>94</v>
      </c>
      <c r="T9" s="288"/>
      <c r="U9" s="289"/>
      <c r="W9" s="262">
        <v>3.1520000000000001</v>
      </c>
    </row>
    <row r="10" spans="1:24" ht="72.75">
      <c r="A10" s="291" t="s">
        <v>95</v>
      </c>
      <c r="B10" s="39" t="s">
        <v>96</v>
      </c>
      <c r="C10" s="39" t="s">
        <v>63</v>
      </c>
      <c r="D10" s="39" t="s">
        <v>35</v>
      </c>
      <c r="E10" s="39">
        <v>2016</v>
      </c>
      <c r="F10" s="39" t="s">
        <v>97</v>
      </c>
      <c r="G10" s="39" t="s">
        <v>37</v>
      </c>
      <c r="H10" s="39" t="s">
        <v>38</v>
      </c>
      <c r="I10" s="96">
        <v>1010</v>
      </c>
      <c r="J10" s="96" t="s">
        <v>53</v>
      </c>
      <c r="K10" s="292" t="s">
        <v>98</v>
      </c>
      <c r="L10" s="96" t="s">
        <v>53</v>
      </c>
      <c r="M10" s="39" t="s">
        <v>99</v>
      </c>
      <c r="N10" s="39" t="s">
        <v>41</v>
      </c>
      <c r="O10" s="39" t="s">
        <v>100</v>
      </c>
      <c r="P10" s="39" t="s">
        <v>101</v>
      </c>
      <c r="Q10" s="39" t="s">
        <v>102</v>
      </c>
      <c r="R10" s="293">
        <v>16</v>
      </c>
      <c r="S10" s="294" t="s">
        <v>103</v>
      </c>
      <c r="T10" s="295" t="s">
        <v>46</v>
      </c>
      <c r="U10" s="296"/>
      <c r="V10" s="297"/>
      <c r="W10" s="298">
        <v>3.9750000000000001</v>
      </c>
    </row>
    <row r="11" spans="1:24" ht="29.25">
      <c r="A11" s="45"/>
      <c r="B11" s="40" t="s">
        <v>96</v>
      </c>
      <c r="C11" s="40" t="s">
        <v>63</v>
      </c>
      <c r="D11" s="40" t="s">
        <v>35</v>
      </c>
      <c r="E11" s="40">
        <v>2016</v>
      </c>
      <c r="F11" s="40" t="s">
        <v>97</v>
      </c>
      <c r="G11" s="40" t="s">
        <v>37</v>
      </c>
      <c r="H11" s="40" t="s">
        <v>38</v>
      </c>
      <c r="I11" s="135">
        <v>1010</v>
      </c>
      <c r="J11" s="135" t="s">
        <v>53</v>
      </c>
      <c r="K11" s="285" t="s">
        <v>98</v>
      </c>
      <c r="L11" s="135" t="s">
        <v>53</v>
      </c>
      <c r="M11" s="40" t="s">
        <v>40</v>
      </c>
      <c r="N11" s="40" t="s">
        <v>41</v>
      </c>
      <c r="O11" s="40" t="s">
        <v>104</v>
      </c>
      <c r="P11" s="40" t="s">
        <v>105</v>
      </c>
      <c r="Q11" s="40" t="s">
        <v>102</v>
      </c>
      <c r="R11" s="286">
        <v>41</v>
      </c>
      <c r="S11" s="287" t="s">
        <v>106</v>
      </c>
      <c r="T11" s="288"/>
      <c r="U11" s="289">
        <v>0.6</v>
      </c>
      <c r="V11" s="166">
        <v>0.85</v>
      </c>
      <c r="W11" s="262">
        <v>56.32</v>
      </c>
      <c r="X11" s="187" t="s">
        <v>107</v>
      </c>
    </row>
    <row r="12" spans="1:24" ht="14.65" thickBot="1">
      <c r="A12" s="45"/>
      <c r="B12" s="40" t="s">
        <v>96</v>
      </c>
      <c r="C12" s="40" t="s">
        <v>63</v>
      </c>
      <c r="D12" s="40" t="s">
        <v>35</v>
      </c>
      <c r="E12" s="40">
        <v>2016</v>
      </c>
      <c r="F12" s="40" t="s">
        <v>97</v>
      </c>
      <c r="G12" s="40" t="s">
        <v>37</v>
      </c>
      <c r="H12" s="40" t="s">
        <v>38</v>
      </c>
      <c r="I12" s="135">
        <v>1010</v>
      </c>
      <c r="J12" s="135" t="s">
        <v>53</v>
      </c>
      <c r="K12" s="285" t="s">
        <v>98</v>
      </c>
      <c r="L12" s="135" t="s">
        <v>53</v>
      </c>
      <c r="M12" s="40" t="s">
        <v>66</v>
      </c>
      <c r="N12" s="40" t="s">
        <v>67</v>
      </c>
      <c r="O12" s="40" t="s">
        <v>108</v>
      </c>
      <c r="P12" s="40" t="s">
        <v>109</v>
      </c>
      <c r="Q12" s="40" t="s">
        <v>44</v>
      </c>
      <c r="R12" s="286">
        <v>21</v>
      </c>
      <c r="S12" s="287" t="s">
        <v>110</v>
      </c>
      <c r="T12" s="288"/>
      <c r="U12" s="289" t="s">
        <v>54</v>
      </c>
      <c r="V12" s="166" t="s">
        <v>54</v>
      </c>
      <c r="W12" s="262" t="s">
        <v>54</v>
      </c>
    </row>
    <row r="13" spans="1:24" ht="72.400000000000006" thickTop="1" thickBot="1">
      <c r="A13" s="272" t="s">
        <v>111</v>
      </c>
      <c r="B13" s="42" t="s">
        <v>112</v>
      </c>
      <c r="C13" s="42" t="s">
        <v>63</v>
      </c>
      <c r="D13" s="42" t="s">
        <v>113</v>
      </c>
      <c r="E13" s="42">
        <v>2020</v>
      </c>
      <c r="F13" s="42" t="s">
        <v>114</v>
      </c>
      <c r="G13" s="42" t="s">
        <v>37</v>
      </c>
      <c r="H13" s="42" t="s">
        <v>38</v>
      </c>
      <c r="I13" s="64">
        <v>390</v>
      </c>
      <c r="J13" s="64">
        <v>6</v>
      </c>
      <c r="K13" s="273" t="s">
        <v>115</v>
      </c>
      <c r="L13" s="64">
        <v>54.7</v>
      </c>
      <c r="M13" s="42" t="s">
        <v>116</v>
      </c>
      <c r="N13" s="42" t="s">
        <v>41</v>
      </c>
      <c r="O13" s="42" t="s">
        <v>117</v>
      </c>
      <c r="P13" s="42" t="s">
        <v>118</v>
      </c>
      <c r="Q13" s="42" t="s">
        <v>119</v>
      </c>
      <c r="R13" s="274">
        <v>25.4</v>
      </c>
      <c r="S13" s="275" t="s">
        <v>120</v>
      </c>
      <c r="T13" s="280" t="s">
        <v>46</v>
      </c>
      <c r="U13" s="284">
        <v>0.87</v>
      </c>
      <c r="V13" s="282">
        <v>0.86</v>
      </c>
      <c r="W13" s="283">
        <v>14.79</v>
      </c>
      <c r="X13" s="187" t="s">
        <v>121</v>
      </c>
    </row>
    <row r="14" spans="1:24" ht="72.75">
      <c r="A14" s="272" t="s">
        <v>122</v>
      </c>
      <c r="B14" s="42" t="s">
        <v>123</v>
      </c>
      <c r="C14" s="42" t="s">
        <v>34</v>
      </c>
      <c r="D14" s="42" t="s">
        <v>35</v>
      </c>
      <c r="E14" s="42">
        <v>2021</v>
      </c>
      <c r="F14" s="42" t="s">
        <v>124</v>
      </c>
      <c r="G14" s="42" t="s">
        <v>125</v>
      </c>
      <c r="H14" s="42" t="s">
        <v>52</v>
      </c>
      <c r="I14" s="64">
        <v>425</v>
      </c>
      <c r="J14" s="64" t="s">
        <v>53</v>
      </c>
      <c r="K14" s="273" t="s">
        <v>126</v>
      </c>
      <c r="L14" s="64">
        <v>49</v>
      </c>
      <c r="M14" s="42" t="s">
        <v>40</v>
      </c>
      <c r="N14" s="42" t="s">
        <v>67</v>
      </c>
      <c r="O14" s="42" t="s">
        <v>127</v>
      </c>
      <c r="P14" s="42" t="s">
        <v>128</v>
      </c>
      <c r="Q14" s="42" t="s">
        <v>44</v>
      </c>
      <c r="R14" s="274">
        <v>43.3</v>
      </c>
      <c r="S14" s="275" t="s">
        <v>129</v>
      </c>
      <c r="T14" s="280" t="s">
        <v>46</v>
      </c>
      <c r="U14" s="284">
        <v>0.85699999999999998</v>
      </c>
      <c r="V14" s="282">
        <v>0.872</v>
      </c>
      <c r="W14" s="283">
        <v>39.619999999999997</v>
      </c>
      <c r="X14" s="187" t="s">
        <v>130</v>
      </c>
    </row>
    <row r="15" spans="1:24" ht="57.95" thickTop="1" thickBot="1">
      <c r="A15" s="272" t="s">
        <v>131</v>
      </c>
      <c r="B15" s="42" t="s">
        <v>132</v>
      </c>
      <c r="C15" s="42" t="s">
        <v>63</v>
      </c>
      <c r="D15" s="42" t="s">
        <v>35</v>
      </c>
      <c r="E15" s="42">
        <v>2006</v>
      </c>
      <c r="F15" s="42" t="s">
        <v>97</v>
      </c>
      <c r="G15" s="42" t="s">
        <v>37</v>
      </c>
      <c r="H15" s="42" t="s">
        <v>38</v>
      </c>
      <c r="I15" s="64">
        <v>620</v>
      </c>
      <c r="J15" s="64" t="s">
        <v>53</v>
      </c>
      <c r="K15" s="42" t="s">
        <v>54</v>
      </c>
      <c r="L15" s="64">
        <v>58</v>
      </c>
      <c r="M15" s="42" t="s">
        <v>40</v>
      </c>
      <c r="N15" s="42" t="s">
        <v>41</v>
      </c>
      <c r="O15" s="42" t="s">
        <v>133</v>
      </c>
      <c r="P15" s="42" t="s">
        <v>134</v>
      </c>
      <c r="Q15" s="42" t="s">
        <v>102</v>
      </c>
      <c r="R15" s="274">
        <v>22.6</v>
      </c>
      <c r="S15" s="275" t="s">
        <v>135</v>
      </c>
      <c r="T15" s="280" t="s">
        <v>46</v>
      </c>
      <c r="U15" s="284"/>
      <c r="V15" s="282"/>
      <c r="W15" s="283">
        <v>8.1419999999999995</v>
      </c>
      <c r="X15" s="290" t="s">
        <v>136</v>
      </c>
    </row>
    <row r="16" spans="1:24" ht="101.1" thickTop="1" thickBot="1">
      <c r="A16" s="299" t="s">
        <v>137</v>
      </c>
      <c r="B16" s="38" t="s">
        <v>138</v>
      </c>
      <c r="C16" s="38" t="s">
        <v>63</v>
      </c>
      <c r="D16" s="38" t="s">
        <v>35</v>
      </c>
      <c r="E16" s="38">
        <v>2021</v>
      </c>
      <c r="F16" s="38" t="s">
        <v>97</v>
      </c>
      <c r="G16" s="38" t="s">
        <v>37</v>
      </c>
      <c r="H16" s="38" t="s">
        <v>52</v>
      </c>
      <c r="I16" s="100">
        <v>797</v>
      </c>
      <c r="J16" s="100">
        <v>15.37</v>
      </c>
      <c r="K16" s="38" t="s">
        <v>139</v>
      </c>
      <c r="L16" s="100">
        <v>62.2</v>
      </c>
      <c r="M16" s="38" t="s">
        <v>66</v>
      </c>
      <c r="N16" s="38" t="s">
        <v>41</v>
      </c>
      <c r="O16" s="38" t="s">
        <v>140</v>
      </c>
      <c r="P16" s="38" t="s">
        <v>141</v>
      </c>
      <c r="Q16" s="38" t="s">
        <v>85</v>
      </c>
      <c r="R16" s="300">
        <v>27.6</v>
      </c>
      <c r="S16" s="301" t="s">
        <v>142</v>
      </c>
      <c r="T16" s="302" t="s">
        <v>46</v>
      </c>
      <c r="U16" s="289">
        <v>0.93</v>
      </c>
      <c r="V16" s="166">
        <v>0.82</v>
      </c>
      <c r="W16" s="262">
        <v>13</v>
      </c>
      <c r="X16" s="187" t="s">
        <v>143</v>
      </c>
    </row>
    <row r="17" spans="1:29" ht="57.75" thickTop="1">
      <c r="A17" s="291" t="s">
        <v>144</v>
      </c>
      <c r="B17" s="39" t="s">
        <v>145</v>
      </c>
      <c r="C17" s="39" t="s">
        <v>34</v>
      </c>
      <c r="D17" s="39" t="s">
        <v>146</v>
      </c>
      <c r="E17" s="39">
        <v>2002</v>
      </c>
      <c r="F17" s="39" t="s">
        <v>97</v>
      </c>
      <c r="G17" s="39" t="s">
        <v>37</v>
      </c>
      <c r="H17" s="39" t="s">
        <v>38</v>
      </c>
      <c r="I17" s="96">
        <v>381</v>
      </c>
      <c r="J17" s="96">
        <v>10</v>
      </c>
      <c r="K17" s="292" t="s">
        <v>147</v>
      </c>
      <c r="L17" s="96">
        <v>47.2</v>
      </c>
      <c r="M17" s="39" t="s">
        <v>87</v>
      </c>
      <c r="N17" s="39" t="s">
        <v>67</v>
      </c>
      <c r="O17" s="39" t="s">
        <v>148</v>
      </c>
      <c r="P17" s="39" t="s">
        <v>149</v>
      </c>
      <c r="Q17" s="39" t="s">
        <v>93</v>
      </c>
      <c r="R17" s="293">
        <v>2.4</v>
      </c>
      <c r="S17" s="294" t="s">
        <v>150</v>
      </c>
      <c r="T17" s="288" t="s">
        <v>46</v>
      </c>
      <c r="U17" s="303" t="s">
        <v>54</v>
      </c>
      <c r="V17" s="109" t="s">
        <v>54</v>
      </c>
      <c r="W17" s="293">
        <v>2.4</v>
      </c>
    </row>
    <row r="18" spans="1:29" ht="28.7">
      <c r="A18" s="45"/>
      <c r="B18" s="40" t="s">
        <v>145</v>
      </c>
      <c r="C18" s="40" t="s">
        <v>34</v>
      </c>
      <c r="D18" s="40" t="s">
        <v>146</v>
      </c>
      <c r="E18" s="40">
        <v>2002</v>
      </c>
      <c r="F18" s="40" t="s">
        <v>97</v>
      </c>
      <c r="G18" s="40" t="s">
        <v>37</v>
      </c>
      <c r="H18" s="40" t="s">
        <v>38</v>
      </c>
      <c r="I18" s="135">
        <v>381</v>
      </c>
      <c r="J18" s="135">
        <v>10</v>
      </c>
      <c r="K18" s="40" t="s">
        <v>147</v>
      </c>
      <c r="L18" s="135">
        <v>47.2</v>
      </c>
      <c r="M18" s="40" t="s">
        <v>99</v>
      </c>
      <c r="N18" s="40" t="s">
        <v>67</v>
      </c>
      <c r="O18" s="40" t="s">
        <v>148</v>
      </c>
      <c r="P18" s="40" t="s">
        <v>149</v>
      </c>
      <c r="Q18" s="40" t="s">
        <v>93</v>
      </c>
      <c r="R18" s="286">
        <v>3.4</v>
      </c>
      <c r="S18" s="287" t="s">
        <v>151</v>
      </c>
      <c r="T18" s="288"/>
      <c r="U18" s="289" t="s">
        <v>54</v>
      </c>
      <c r="V18" s="166" t="s">
        <v>54</v>
      </c>
      <c r="W18" s="286">
        <v>3.4</v>
      </c>
    </row>
    <row r="19" spans="1:29" ht="29.1" thickBot="1">
      <c r="A19" s="299"/>
      <c r="B19" s="40" t="s">
        <v>145</v>
      </c>
      <c r="C19" s="38" t="s">
        <v>34</v>
      </c>
      <c r="D19" s="38" t="s">
        <v>146</v>
      </c>
      <c r="E19" s="38">
        <v>2002</v>
      </c>
      <c r="F19" s="38" t="s">
        <v>97</v>
      </c>
      <c r="G19" s="38" t="s">
        <v>37</v>
      </c>
      <c r="H19" s="38" t="s">
        <v>38</v>
      </c>
      <c r="I19" s="100">
        <v>381</v>
      </c>
      <c r="J19" s="100">
        <v>10</v>
      </c>
      <c r="K19" s="38" t="s">
        <v>147</v>
      </c>
      <c r="L19" s="100">
        <v>47.2</v>
      </c>
      <c r="M19" s="38" t="s">
        <v>40</v>
      </c>
      <c r="N19" s="38" t="s">
        <v>67</v>
      </c>
      <c r="O19" s="38" t="s">
        <v>148</v>
      </c>
      <c r="P19" s="38" t="s">
        <v>149</v>
      </c>
      <c r="Q19" s="38" t="s">
        <v>93</v>
      </c>
      <c r="R19" s="300">
        <v>4</v>
      </c>
      <c r="S19" s="301" t="s">
        <v>152</v>
      </c>
      <c r="T19" s="302"/>
      <c r="U19" s="289" t="s">
        <v>54</v>
      </c>
      <c r="V19" s="166" t="s">
        <v>54</v>
      </c>
      <c r="W19" s="300">
        <v>4</v>
      </c>
    </row>
    <row r="20" spans="1:29" ht="57.95" thickTop="1" thickBot="1">
      <c r="A20" s="39" t="s">
        <v>153</v>
      </c>
      <c r="B20" s="39" t="s">
        <v>154</v>
      </c>
      <c r="C20" s="39" t="s">
        <v>63</v>
      </c>
      <c r="D20" s="39" t="s">
        <v>35</v>
      </c>
      <c r="E20" s="39">
        <v>2019</v>
      </c>
      <c r="F20" s="39" t="s">
        <v>155</v>
      </c>
      <c r="G20" s="39" t="s">
        <v>156</v>
      </c>
      <c r="H20" s="39" t="s">
        <v>157</v>
      </c>
      <c r="I20" s="96">
        <v>314</v>
      </c>
      <c r="J20" s="96">
        <v>16.8</v>
      </c>
      <c r="K20" s="292" t="s">
        <v>158</v>
      </c>
      <c r="L20" s="96">
        <v>51.6</v>
      </c>
      <c r="M20" s="39" t="s">
        <v>159</v>
      </c>
      <c r="N20" s="39" t="s">
        <v>41</v>
      </c>
      <c r="O20" s="39" t="s">
        <v>160</v>
      </c>
      <c r="P20" s="40" t="s">
        <v>161</v>
      </c>
      <c r="Q20" s="96" t="s">
        <v>162</v>
      </c>
      <c r="R20" s="293">
        <v>17.5</v>
      </c>
      <c r="S20" s="304" t="s">
        <v>163</v>
      </c>
      <c r="T20" s="288" t="s">
        <v>46</v>
      </c>
      <c r="U20" s="303">
        <v>0.83</v>
      </c>
      <c r="V20" s="109">
        <v>0.7</v>
      </c>
      <c r="W20" s="305">
        <v>4.4000000000000004</v>
      </c>
      <c r="X20" s="290" t="s">
        <v>164</v>
      </c>
    </row>
    <row r="21" spans="1:29" ht="129.75" thickTop="1" thickBot="1">
      <c r="A21" s="272" t="s">
        <v>165</v>
      </c>
      <c r="B21" s="42" t="s">
        <v>166</v>
      </c>
      <c r="C21" s="42" t="s">
        <v>63</v>
      </c>
      <c r="D21" s="42" t="s">
        <v>113</v>
      </c>
      <c r="E21" s="42">
        <v>2017</v>
      </c>
      <c r="F21" s="42" t="s">
        <v>97</v>
      </c>
      <c r="G21" s="42" t="s">
        <v>37</v>
      </c>
      <c r="H21" s="42" t="s">
        <v>38</v>
      </c>
      <c r="I21" s="64">
        <v>1083</v>
      </c>
      <c r="J21" s="64">
        <v>7</v>
      </c>
      <c r="K21" s="42" t="s">
        <v>54</v>
      </c>
      <c r="L21" s="64">
        <v>46.4</v>
      </c>
      <c r="M21" s="42" t="s">
        <v>167</v>
      </c>
      <c r="N21" s="42" t="s">
        <v>67</v>
      </c>
      <c r="O21" s="42" t="s">
        <v>168</v>
      </c>
      <c r="P21" s="42" t="s">
        <v>169</v>
      </c>
      <c r="Q21" s="42" t="s">
        <v>170</v>
      </c>
      <c r="R21" s="274">
        <v>11.9</v>
      </c>
      <c r="S21" s="275" t="s">
        <v>171</v>
      </c>
      <c r="T21" s="280" t="s">
        <v>46</v>
      </c>
      <c r="U21" s="284" t="s">
        <v>54</v>
      </c>
      <c r="V21" s="282" t="s">
        <v>54</v>
      </c>
      <c r="W21" s="274">
        <v>11.9</v>
      </c>
    </row>
    <row r="22" spans="1:29" ht="86.65" thickTop="1" thickBot="1">
      <c r="A22" s="272" t="s">
        <v>172</v>
      </c>
      <c r="B22" s="42" t="s">
        <v>173</v>
      </c>
      <c r="C22" s="42" t="s">
        <v>63</v>
      </c>
      <c r="D22" s="42" t="s">
        <v>113</v>
      </c>
      <c r="E22" s="42">
        <v>2021</v>
      </c>
      <c r="F22" s="42" t="s">
        <v>97</v>
      </c>
      <c r="G22" s="42" t="s">
        <v>37</v>
      </c>
      <c r="H22" s="42" t="s">
        <v>38</v>
      </c>
      <c r="I22" s="64">
        <v>735</v>
      </c>
      <c r="J22" s="64">
        <v>7</v>
      </c>
      <c r="K22" s="42" t="s">
        <v>54</v>
      </c>
      <c r="L22" s="64">
        <v>41.3</v>
      </c>
      <c r="M22" s="42" t="s">
        <v>167</v>
      </c>
      <c r="N22" s="42" t="s">
        <v>67</v>
      </c>
      <c r="O22" s="42" t="s">
        <v>174</v>
      </c>
      <c r="P22" s="42" t="s">
        <v>175</v>
      </c>
      <c r="Q22" s="42" t="s">
        <v>170</v>
      </c>
      <c r="R22" s="274">
        <v>6.5</v>
      </c>
      <c r="S22" s="275" t="s">
        <v>176</v>
      </c>
      <c r="T22" s="280" t="s">
        <v>46</v>
      </c>
      <c r="U22" s="284" t="s">
        <v>54</v>
      </c>
      <c r="V22" s="282" t="s">
        <v>54</v>
      </c>
      <c r="W22" s="274">
        <v>6.5</v>
      </c>
    </row>
    <row r="23" spans="1:29" ht="86.65" thickTop="1" thickBot="1">
      <c r="A23" s="272" t="s">
        <v>177</v>
      </c>
      <c r="B23" s="42" t="s">
        <v>178</v>
      </c>
      <c r="C23" s="42" t="s">
        <v>63</v>
      </c>
      <c r="D23" s="42" t="s">
        <v>113</v>
      </c>
      <c r="E23" s="42">
        <v>2022</v>
      </c>
      <c r="F23" s="42" t="s">
        <v>97</v>
      </c>
      <c r="G23" s="42" t="s">
        <v>37</v>
      </c>
      <c r="H23" s="42" t="s">
        <v>38</v>
      </c>
      <c r="I23" s="64">
        <v>888</v>
      </c>
      <c r="J23" s="64">
        <v>6.9</v>
      </c>
      <c r="K23" s="42" t="s">
        <v>54</v>
      </c>
      <c r="L23" s="64">
        <v>51.7</v>
      </c>
      <c r="M23" s="42" t="s">
        <v>167</v>
      </c>
      <c r="N23" s="42" t="s">
        <v>67</v>
      </c>
      <c r="O23" s="42" t="s">
        <v>174</v>
      </c>
      <c r="P23" s="42" t="s">
        <v>169</v>
      </c>
      <c r="Q23" s="42" t="s">
        <v>170</v>
      </c>
      <c r="R23" s="274">
        <v>10.7</v>
      </c>
      <c r="S23" s="275" t="s">
        <v>179</v>
      </c>
      <c r="T23" s="280" t="s">
        <v>46</v>
      </c>
      <c r="U23" s="284" t="s">
        <v>54</v>
      </c>
      <c r="V23" s="282" t="s">
        <v>54</v>
      </c>
      <c r="W23" s="274">
        <v>10.7</v>
      </c>
    </row>
    <row r="24" spans="1:29" ht="86.65" thickTop="1" thickBot="1">
      <c r="A24" s="299" t="s">
        <v>180</v>
      </c>
      <c r="B24" s="38" t="s">
        <v>181</v>
      </c>
      <c r="C24" s="38" t="s">
        <v>63</v>
      </c>
      <c r="D24" s="38" t="s">
        <v>113</v>
      </c>
      <c r="E24" s="38">
        <v>1998</v>
      </c>
      <c r="F24" s="38" t="s">
        <v>182</v>
      </c>
      <c r="G24" s="38" t="s">
        <v>37</v>
      </c>
      <c r="H24" s="38" t="s">
        <v>52</v>
      </c>
      <c r="I24" s="100">
        <v>2438</v>
      </c>
      <c r="J24" s="100">
        <v>8.9499999999999993</v>
      </c>
      <c r="K24" s="306" t="s">
        <v>183</v>
      </c>
      <c r="L24" s="100">
        <v>49.9</v>
      </c>
      <c r="M24" s="38" t="s">
        <v>116</v>
      </c>
      <c r="N24" s="38" t="s">
        <v>41</v>
      </c>
      <c r="O24" s="38" t="s">
        <v>184</v>
      </c>
      <c r="P24" s="38" t="s">
        <v>185</v>
      </c>
      <c r="Q24" s="38" t="s">
        <v>119</v>
      </c>
      <c r="R24" s="300">
        <v>7.1</v>
      </c>
      <c r="S24" s="301" t="s">
        <v>186</v>
      </c>
      <c r="T24" s="302" t="s">
        <v>46</v>
      </c>
      <c r="U24" s="289">
        <v>0.57999999999999996</v>
      </c>
      <c r="V24" s="166">
        <v>0.83</v>
      </c>
      <c r="W24" s="262">
        <v>2.8580000000000001</v>
      </c>
      <c r="X24" s="261" t="s">
        <v>187</v>
      </c>
    </row>
    <row r="25" spans="1:29" ht="115.35" thickTop="1" thickBot="1">
      <c r="A25" s="307" t="s">
        <v>188</v>
      </c>
      <c r="B25" s="308" t="s">
        <v>189</v>
      </c>
      <c r="C25" s="308" t="s">
        <v>63</v>
      </c>
      <c r="D25" s="308" t="s">
        <v>35</v>
      </c>
      <c r="E25" s="308">
        <v>2024</v>
      </c>
      <c r="F25" s="308" t="s">
        <v>97</v>
      </c>
      <c r="G25" s="308" t="s">
        <v>156</v>
      </c>
      <c r="H25" s="308" t="s">
        <v>190</v>
      </c>
      <c r="I25" s="309">
        <v>621</v>
      </c>
      <c r="J25" s="309">
        <v>12</v>
      </c>
      <c r="K25" s="310" t="s">
        <v>191</v>
      </c>
      <c r="L25" s="311">
        <v>61.2</v>
      </c>
      <c r="M25" s="39" t="s">
        <v>40</v>
      </c>
      <c r="N25" s="308" t="s">
        <v>41</v>
      </c>
      <c r="O25" s="308" t="s">
        <v>192</v>
      </c>
      <c r="P25" s="39" t="s">
        <v>193</v>
      </c>
      <c r="Q25" s="308" t="s">
        <v>194</v>
      </c>
      <c r="R25" s="312">
        <v>33.5</v>
      </c>
      <c r="S25" s="313" t="s">
        <v>195</v>
      </c>
      <c r="T25" s="313" t="s">
        <v>196</v>
      </c>
      <c r="U25" s="303">
        <v>0.91</v>
      </c>
      <c r="V25" s="109">
        <v>0.76</v>
      </c>
      <c r="W25" s="305">
        <v>15.16</v>
      </c>
      <c r="X25" s="290" t="s">
        <v>197</v>
      </c>
      <c r="Y25" s="314"/>
      <c r="Z25" s="314"/>
      <c r="AA25" s="314"/>
      <c r="AB25" s="314"/>
      <c r="AC25" s="314"/>
    </row>
    <row r="26" spans="1:29" ht="29.25">
      <c r="A26" s="315"/>
      <c r="B26" s="316" t="s">
        <v>189</v>
      </c>
      <c r="C26" s="316" t="s">
        <v>63</v>
      </c>
      <c r="D26" s="316" t="s">
        <v>35</v>
      </c>
      <c r="E26" s="316">
        <v>2024</v>
      </c>
      <c r="F26" s="316" t="s">
        <v>97</v>
      </c>
      <c r="G26" s="316" t="s">
        <v>156</v>
      </c>
      <c r="H26" s="316" t="s">
        <v>190</v>
      </c>
      <c r="I26" s="135">
        <v>621</v>
      </c>
      <c r="J26" s="135">
        <v>12</v>
      </c>
      <c r="K26" s="316" t="s">
        <v>191</v>
      </c>
      <c r="L26" s="135">
        <v>61.2</v>
      </c>
      <c r="M26" s="316" t="s">
        <v>99</v>
      </c>
      <c r="N26" s="316" t="s">
        <v>41</v>
      </c>
      <c r="O26" s="316" t="s">
        <v>198</v>
      </c>
      <c r="P26" s="40" t="s">
        <v>199</v>
      </c>
      <c r="Q26" s="316" t="s">
        <v>194</v>
      </c>
      <c r="R26" s="151">
        <v>21.9</v>
      </c>
      <c r="S26" s="317" t="s">
        <v>200</v>
      </c>
      <c r="T26" s="317"/>
      <c r="U26" s="318">
        <v>0.76</v>
      </c>
      <c r="V26" s="319">
        <v>0.64</v>
      </c>
      <c r="W26" s="262">
        <v>5.26</v>
      </c>
      <c r="X26" s="187" t="s">
        <v>201</v>
      </c>
      <c r="Y26" s="316"/>
      <c r="Z26" s="316"/>
      <c r="AA26" s="316"/>
      <c r="AB26" s="316"/>
      <c r="AC26" s="316"/>
    </row>
    <row r="27" spans="1:29" s="7" customFormat="1" ht="71.650000000000006">
      <c r="A27" s="291" t="s">
        <v>202</v>
      </c>
      <c r="B27" s="39" t="s">
        <v>203</v>
      </c>
      <c r="C27" s="39" t="s">
        <v>34</v>
      </c>
      <c r="D27" s="39" t="s">
        <v>35</v>
      </c>
      <c r="E27" s="39">
        <v>2021</v>
      </c>
      <c r="F27" s="39" t="s">
        <v>64</v>
      </c>
      <c r="G27" s="39" t="s">
        <v>37</v>
      </c>
      <c r="H27" s="39" t="s">
        <v>38</v>
      </c>
      <c r="I27" s="96">
        <v>355</v>
      </c>
      <c r="J27" s="96">
        <v>18.600000000000001</v>
      </c>
      <c r="K27" s="292" t="s">
        <v>204</v>
      </c>
      <c r="L27" s="96"/>
      <c r="M27" s="39" t="s">
        <v>40</v>
      </c>
      <c r="N27" s="39" t="s">
        <v>41</v>
      </c>
      <c r="O27" s="39" t="s">
        <v>205</v>
      </c>
      <c r="P27" s="39" t="s">
        <v>206</v>
      </c>
      <c r="Q27" s="39" t="s">
        <v>44</v>
      </c>
      <c r="R27" s="293">
        <v>44.1</v>
      </c>
      <c r="S27" s="294" t="s">
        <v>207</v>
      </c>
      <c r="T27" s="295" t="s">
        <v>46</v>
      </c>
      <c r="U27" s="296"/>
      <c r="V27" s="297"/>
      <c r="W27" s="298">
        <v>39.979999999999997</v>
      </c>
      <c r="X27" s="320"/>
    </row>
    <row r="28" spans="1:29" ht="28.7">
      <c r="A28" s="45"/>
      <c r="B28" s="40" t="s">
        <v>203</v>
      </c>
      <c r="C28" s="40" t="s">
        <v>34</v>
      </c>
      <c r="D28" s="40" t="s">
        <v>35</v>
      </c>
      <c r="E28" s="40">
        <v>2021</v>
      </c>
      <c r="F28" s="40" t="s">
        <v>64</v>
      </c>
      <c r="G28" s="40" t="s">
        <v>37</v>
      </c>
      <c r="H28" s="40" t="s">
        <v>38</v>
      </c>
      <c r="I28" s="135">
        <v>355</v>
      </c>
      <c r="J28" s="135">
        <v>18.600000000000001</v>
      </c>
      <c r="K28" s="40" t="s">
        <v>204</v>
      </c>
      <c r="L28" s="135"/>
      <c r="M28" s="40" t="s">
        <v>99</v>
      </c>
      <c r="N28" s="40" t="s">
        <v>41</v>
      </c>
      <c r="O28" s="40" t="s">
        <v>208</v>
      </c>
      <c r="P28" s="40" t="s">
        <v>206</v>
      </c>
      <c r="Q28" s="40" t="s">
        <v>44</v>
      </c>
      <c r="R28" s="286">
        <v>40.200000000000003</v>
      </c>
      <c r="S28" s="287" t="s">
        <v>209</v>
      </c>
      <c r="T28" s="288"/>
      <c r="U28" s="289"/>
      <c r="W28" s="262">
        <v>32.43</v>
      </c>
    </row>
    <row r="29" spans="1:29" s="332" customFormat="1" ht="71.650000000000006">
      <c r="A29" s="321" t="s">
        <v>210</v>
      </c>
      <c r="B29" s="322" t="s">
        <v>211</v>
      </c>
      <c r="C29" s="323" t="s">
        <v>63</v>
      </c>
      <c r="D29" s="323" t="s">
        <v>35</v>
      </c>
      <c r="E29" s="323">
        <v>2012</v>
      </c>
      <c r="F29" s="323" t="s">
        <v>51</v>
      </c>
      <c r="G29" s="323" t="s">
        <v>156</v>
      </c>
      <c r="H29" s="323" t="s">
        <v>157</v>
      </c>
      <c r="I29" s="324">
        <v>697</v>
      </c>
      <c r="J29" s="324">
        <v>16.2</v>
      </c>
      <c r="K29" s="323" t="s">
        <v>212</v>
      </c>
      <c r="L29" s="324">
        <v>50.3</v>
      </c>
      <c r="M29" s="323" t="s">
        <v>213</v>
      </c>
      <c r="N29" s="323" t="s">
        <v>41</v>
      </c>
      <c r="O29" s="323" t="s">
        <v>214</v>
      </c>
      <c r="P29" s="322" t="s">
        <v>215</v>
      </c>
      <c r="Q29" s="324" t="s">
        <v>170</v>
      </c>
      <c r="R29" s="325">
        <v>30.3</v>
      </c>
      <c r="S29" s="326" t="s">
        <v>216</v>
      </c>
      <c r="T29" s="327" t="s">
        <v>46</v>
      </c>
      <c r="U29" s="328">
        <v>0.92</v>
      </c>
      <c r="V29" s="329">
        <v>0.77</v>
      </c>
      <c r="W29" s="330">
        <v>13.12</v>
      </c>
      <c r="X29" s="331" t="s">
        <v>217</v>
      </c>
    </row>
    <row r="30" spans="1:29" ht="71.650000000000006">
      <c r="A30" s="291" t="s">
        <v>218</v>
      </c>
      <c r="B30" s="39" t="s">
        <v>219</v>
      </c>
      <c r="C30" s="39" t="s">
        <v>34</v>
      </c>
      <c r="D30" s="39" t="s">
        <v>35</v>
      </c>
      <c r="E30" s="39">
        <v>2013</v>
      </c>
      <c r="F30" s="39" t="s">
        <v>220</v>
      </c>
      <c r="G30" s="39" t="s">
        <v>37</v>
      </c>
      <c r="H30" s="39" t="s">
        <v>52</v>
      </c>
      <c r="I30" s="96">
        <v>2783</v>
      </c>
      <c r="J30" s="96">
        <v>18.5</v>
      </c>
      <c r="K30" s="292" t="s">
        <v>221</v>
      </c>
      <c r="L30" s="96">
        <v>50.8</v>
      </c>
      <c r="M30" s="39" t="s">
        <v>40</v>
      </c>
      <c r="N30" s="39" t="s">
        <v>41</v>
      </c>
      <c r="O30" s="39" t="s">
        <v>222</v>
      </c>
      <c r="P30" s="39" t="s">
        <v>223</v>
      </c>
      <c r="Q30" s="39" t="s">
        <v>44</v>
      </c>
      <c r="R30" s="293">
        <v>17.100000000000001</v>
      </c>
      <c r="S30" s="294" t="s">
        <v>224</v>
      </c>
      <c r="T30" s="295" t="s">
        <v>46</v>
      </c>
      <c r="U30" s="333" t="s">
        <v>58</v>
      </c>
      <c r="V30" s="166" t="s">
        <v>59</v>
      </c>
      <c r="W30" s="262">
        <v>4.1120000000000001</v>
      </c>
      <c r="X30" s="187" t="s">
        <v>60</v>
      </c>
    </row>
    <row r="31" spans="1:29" s="335" customFormat="1" ht="72.400000000000006" thickTop="1" thickBot="1">
      <c r="A31" s="272" t="s">
        <v>225</v>
      </c>
      <c r="B31" s="42" t="s">
        <v>226</v>
      </c>
      <c r="C31" s="42" t="s">
        <v>63</v>
      </c>
      <c r="D31" s="42" t="s">
        <v>35</v>
      </c>
      <c r="E31" s="42">
        <v>2017</v>
      </c>
      <c r="F31" s="42" t="s">
        <v>97</v>
      </c>
      <c r="G31" s="42" t="s">
        <v>37</v>
      </c>
      <c r="H31" s="42" t="s">
        <v>52</v>
      </c>
      <c r="I31" s="64">
        <v>216</v>
      </c>
      <c r="J31" s="64">
        <v>15</v>
      </c>
      <c r="K31" s="273" t="s">
        <v>227</v>
      </c>
      <c r="L31" s="64">
        <v>62</v>
      </c>
      <c r="M31" s="42" t="s">
        <v>66</v>
      </c>
      <c r="N31" s="42" t="s">
        <v>67</v>
      </c>
      <c r="O31" s="42" t="s">
        <v>228</v>
      </c>
      <c r="P31" s="42" t="s">
        <v>229</v>
      </c>
      <c r="Q31" s="42" t="s">
        <v>85</v>
      </c>
      <c r="R31" s="274">
        <v>48.1</v>
      </c>
      <c r="S31" s="275" t="s">
        <v>230</v>
      </c>
      <c r="T31" s="280" t="s">
        <v>46</v>
      </c>
      <c r="U31" s="284" t="s">
        <v>54</v>
      </c>
      <c r="V31" s="282" t="s">
        <v>54</v>
      </c>
      <c r="W31" s="274">
        <v>48.1</v>
      </c>
      <c r="X31" s="334"/>
    </row>
    <row r="32" spans="1:29" ht="87">
      <c r="A32" s="45" t="s">
        <v>231</v>
      </c>
      <c r="B32" s="40" t="s">
        <v>232</v>
      </c>
      <c r="C32" s="40" t="s">
        <v>63</v>
      </c>
      <c r="D32" s="40" t="s">
        <v>35</v>
      </c>
      <c r="E32" s="40">
        <v>2019</v>
      </c>
      <c r="F32" s="40" t="s">
        <v>97</v>
      </c>
      <c r="G32" s="40" t="s">
        <v>37</v>
      </c>
      <c r="H32" s="40" t="s">
        <v>38</v>
      </c>
      <c r="I32" s="135">
        <v>215</v>
      </c>
      <c r="J32" s="135">
        <v>14.9</v>
      </c>
      <c r="K32" s="285" t="s">
        <v>227</v>
      </c>
      <c r="L32" s="135">
        <v>60.9</v>
      </c>
      <c r="M32" s="40" t="s">
        <v>40</v>
      </c>
      <c r="N32" s="40" t="s">
        <v>67</v>
      </c>
      <c r="O32" s="40" t="s">
        <v>233</v>
      </c>
      <c r="P32" s="40" t="s">
        <v>234</v>
      </c>
      <c r="Q32" s="40" t="s">
        <v>85</v>
      </c>
      <c r="R32" s="286">
        <v>34</v>
      </c>
      <c r="S32" s="287" t="s">
        <v>235</v>
      </c>
      <c r="T32" s="288" t="s">
        <v>46</v>
      </c>
      <c r="U32" s="289" t="s">
        <v>54</v>
      </c>
      <c r="V32" s="166" t="s">
        <v>54</v>
      </c>
      <c r="W32" s="286">
        <v>34</v>
      </c>
    </row>
    <row r="33" spans="1:25" ht="14.65" thickBot="1">
      <c r="A33" s="45"/>
      <c r="B33" s="40" t="s">
        <v>232</v>
      </c>
      <c r="C33" s="40" t="s">
        <v>63</v>
      </c>
      <c r="D33" s="336" t="s">
        <v>35</v>
      </c>
      <c r="E33" s="336">
        <v>2019</v>
      </c>
      <c r="F33" s="336" t="s">
        <v>97</v>
      </c>
      <c r="G33" s="40" t="s">
        <v>37</v>
      </c>
      <c r="H33" s="40" t="s">
        <v>38</v>
      </c>
      <c r="I33" s="135">
        <v>215</v>
      </c>
      <c r="J33" s="135">
        <v>14.9</v>
      </c>
      <c r="K33" s="40" t="s">
        <v>227</v>
      </c>
      <c r="L33" s="135">
        <v>60.9</v>
      </c>
      <c r="M33" s="40" t="s">
        <v>66</v>
      </c>
      <c r="N33" s="40" t="s">
        <v>67</v>
      </c>
      <c r="O33" s="40" t="s">
        <v>236</v>
      </c>
      <c r="P33" s="40" t="s">
        <v>237</v>
      </c>
      <c r="Q33" s="40" t="s">
        <v>85</v>
      </c>
      <c r="R33" s="188">
        <v>49.3</v>
      </c>
      <c r="S33" s="189" t="s">
        <v>238</v>
      </c>
      <c r="T33" s="302"/>
      <c r="U33" s="277" t="s">
        <v>54</v>
      </c>
      <c r="V33" s="278" t="s">
        <v>54</v>
      </c>
      <c r="W33" s="188">
        <v>49.3</v>
      </c>
    </row>
    <row r="34" spans="1:25" ht="72.400000000000006" thickTop="1" thickBot="1">
      <c r="A34" s="337" t="s">
        <v>239</v>
      </c>
      <c r="B34" s="338" t="s">
        <v>240</v>
      </c>
      <c r="C34" s="339" t="s">
        <v>34</v>
      </c>
      <c r="D34" s="338" t="s">
        <v>35</v>
      </c>
      <c r="E34" s="338">
        <v>2021</v>
      </c>
      <c r="F34" s="338" t="s">
        <v>36</v>
      </c>
      <c r="G34" s="339" t="s">
        <v>156</v>
      </c>
      <c r="H34" s="339" t="s">
        <v>157</v>
      </c>
      <c r="I34" s="340">
        <v>2290</v>
      </c>
      <c r="J34" s="340">
        <v>17</v>
      </c>
      <c r="K34" s="339" t="s">
        <v>39</v>
      </c>
      <c r="L34" s="340">
        <v>50.9</v>
      </c>
      <c r="M34" s="339" t="s">
        <v>159</v>
      </c>
      <c r="N34" s="339" t="s">
        <v>41</v>
      </c>
      <c r="O34" s="339" t="s">
        <v>241</v>
      </c>
      <c r="P34" s="338" t="s">
        <v>242</v>
      </c>
      <c r="Q34" s="340" t="s">
        <v>162</v>
      </c>
      <c r="R34" s="341">
        <v>12</v>
      </c>
      <c r="S34" s="342" t="s">
        <v>243</v>
      </c>
      <c r="T34" s="276" t="s">
        <v>46</v>
      </c>
      <c r="U34" s="284">
        <v>0.95199999999999996</v>
      </c>
      <c r="V34" s="282">
        <v>0.66400000000000003</v>
      </c>
      <c r="W34" s="283">
        <v>1.798</v>
      </c>
      <c r="X34" s="261" t="s">
        <v>244</v>
      </c>
    </row>
    <row r="35" spans="1:25" ht="72" thickTop="1">
      <c r="A35" s="291" t="s">
        <v>245</v>
      </c>
      <c r="B35" s="39" t="s">
        <v>246</v>
      </c>
      <c r="C35" s="39" t="s">
        <v>63</v>
      </c>
      <c r="D35" s="39" t="s">
        <v>247</v>
      </c>
      <c r="E35" s="39">
        <v>2022</v>
      </c>
      <c r="F35" s="39" t="s">
        <v>64</v>
      </c>
      <c r="G35" s="39" t="s">
        <v>37</v>
      </c>
      <c r="H35" s="39" t="s">
        <v>52</v>
      </c>
      <c r="I35" s="96">
        <v>187</v>
      </c>
      <c r="J35" s="96">
        <v>14.4</v>
      </c>
      <c r="K35" s="39" t="s">
        <v>54</v>
      </c>
      <c r="L35" s="96">
        <v>75.900000000000006</v>
      </c>
      <c r="M35" s="39" t="s">
        <v>248</v>
      </c>
      <c r="N35" s="39" t="s">
        <v>41</v>
      </c>
      <c r="O35" s="39" t="s">
        <v>249</v>
      </c>
      <c r="P35" s="39" t="s">
        <v>78</v>
      </c>
      <c r="Q35" s="39" t="s">
        <v>79</v>
      </c>
      <c r="R35" s="293">
        <v>14.7</v>
      </c>
      <c r="S35" s="294" t="s">
        <v>250</v>
      </c>
      <c r="T35" s="295" t="s">
        <v>46</v>
      </c>
      <c r="U35" s="289">
        <v>0.49</v>
      </c>
      <c r="V35" s="166">
        <v>0.93</v>
      </c>
      <c r="W35" s="262">
        <v>18.09</v>
      </c>
      <c r="X35" s="290" t="s">
        <v>81</v>
      </c>
      <c r="Y35" t="s">
        <v>251</v>
      </c>
    </row>
    <row r="36" spans="1:25" ht="28.7">
      <c r="A36" s="45"/>
      <c r="B36" s="40" t="s">
        <v>246</v>
      </c>
      <c r="C36" s="40" t="s">
        <v>63</v>
      </c>
      <c r="D36" s="40" t="s">
        <v>247</v>
      </c>
      <c r="E36" s="40">
        <v>2022</v>
      </c>
      <c r="F36" s="40" t="s">
        <v>64</v>
      </c>
      <c r="G36" s="40" t="s">
        <v>37</v>
      </c>
      <c r="H36" s="40" t="s">
        <v>52</v>
      </c>
      <c r="I36" s="135">
        <v>187</v>
      </c>
      <c r="J36" s="135">
        <v>14.4</v>
      </c>
      <c r="K36" s="40" t="s">
        <v>54</v>
      </c>
      <c r="L36" s="135">
        <v>75.900000000000006</v>
      </c>
      <c r="M36" s="40" t="s">
        <v>87</v>
      </c>
      <c r="N36" s="40" t="s">
        <v>41</v>
      </c>
      <c r="O36" s="40" t="s">
        <v>252</v>
      </c>
      <c r="P36" s="40" t="s">
        <v>78</v>
      </c>
      <c r="Q36" s="40" t="s">
        <v>85</v>
      </c>
      <c r="R36" s="286">
        <v>15.6</v>
      </c>
      <c r="S36" s="287" t="s">
        <v>253</v>
      </c>
      <c r="T36" s="288"/>
      <c r="U36" s="289">
        <v>0.75</v>
      </c>
      <c r="V36" s="166">
        <v>0.91</v>
      </c>
      <c r="W36" s="262">
        <v>10.8</v>
      </c>
      <c r="X36" s="290" t="s">
        <v>81</v>
      </c>
    </row>
    <row r="37" spans="1:25" ht="28.7">
      <c r="A37" s="45"/>
      <c r="B37" s="40" t="s">
        <v>246</v>
      </c>
      <c r="C37" s="40" t="s">
        <v>63</v>
      </c>
      <c r="D37" s="40" t="s">
        <v>247</v>
      </c>
      <c r="E37" s="40">
        <v>2022</v>
      </c>
      <c r="F37" s="40" t="s">
        <v>64</v>
      </c>
      <c r="G37" s="40" t="s">
        <v>37</v>
      </c>
      <c r="H37" s="40" t="s">
        <v>52</v>
      </c>
      <c r="I37" s="135">
        <v>187</v>
      </c>
      <c r="J37" s="135">
        <v>14.4</v>
      </c>
      <c r="K37" s="40" t="s">
        <v>54</v>
      </c>
      <c r="L37" s="135">
        <v>75.900000000000006</v>
      </c>
      <c r="M37" s="40" t="s">
        <v>254</v>
      </c>
      <c r="N37" s="40" t="s">
        <v>41</v>
      </c>
      <c r="O37" s="40" t="s">
        <v>252</v>
      </c>
      <c r="P37" s="40" t="s">
        <v>78</v>
      </c>
      <c r="Q37" s="40" t="s">
        <v>85</v>
      </c>
      <c r="R37" s="286">
        <v>10.3</v>
      </c>
      <c r="S37" s="287" t="s">
        <v>255</v>
      </c>
      <c r="T37" s="288"/>
      <c r="U37" s="289">
        <v>0.73</v>
      </c>
      <c r="V37" s="166">
        <v>0.85</v>
      </c>
      <c r="W37" s="262">
        <v>4.9669999999999996</v>
      </c>
      <c r="X37" s="290" t="s">
        <v>81</v>
      </c>
    </row>
    <row r="38" spans="1:25" ht="28.7">
      <c r="A38" s="45"/>
      <c r="B38" s="40" t="s">
        <v>246</v>
      </c>
      <c r="C38" s="40" t="s">
        <v>63</v>
      </c>
      <c r="D38" s="40" t="s">
        <v>247</v>
      </c>
      <c r="E38" s="40">
        <v>2022</v>
      </c>
      <c r="F38" s="40" t="s">
        <v>64</v>
      </c>
      <c r="G38" s="40" t="s">
        <v>37</v>
      </c>
      <c r="H38" s="40" t="s">
        <v>52</v>
      </c>
      <c r="I38" s="135">
        <v>187</v>
      </c>
      <c r="J38" s="135">
        <v>14.4</v>
      </c>
      <c r="K38" s="40" t="s">
        <v>54</v>
      </c>
      <c r="L38" s="135">
        <v>75.900000000000006</v>
      </c>
      <c r="M38" s="40" t="s">
        <v>256</v>
      </c>
      <c r="N38" s="40" t="s">
        <v>41</v>
      </c>
      <c r="O38" s="40" t="s">
        <v>252</v>
      </c>
      <c r="P38" s="40" t="s">
        <v>78</v>
      </c>
      <c r="Q38" s="40" t="s">
        <v>85</v>
      </c>
      <c r="R38" s="286">
        <v>18.5</v>
      </c>
      <c r="S38" s="287" t="s">
        <v>257</v>
      </c>
      <c r="T38" s="288"/>
      <c r="U38" s="289">
        <v>0.54</v>
      </c>
      <c r="V38" s="166">
        <v>0.89</v>
      </c>
      <c r="W38" s="262">
        <v>19.489999999999998</v>
      </c>
      <c r="X38" s="290" t="s">
        <v>81</v>
      </c>
    </row>
    <row r="39" spans="1:25" ht="29.1" thickBot="1">
      <c r="A39" s="299"/>
      <c r="B39" s="38" t="s">
        <v>246</v>
      </c>
      <c r="C39" s="38" t="s">
        <v>63</v>
      </c>
      <c r="D39" s="38" t="s">
        <v>247</v>
      </c>
      <c r="E39" s="38">
        <v>2022</v>
      </c>
      <c r="F39" s="38" t="s">
        <v>64</v>
      </c>
      <c r="G39" s="38" t="s">
        <v>37</v>
      </c>
      <c r="H39" s="38" t="s">
        <v>52</v>
      </c>
      <c r="I39" s="100">
        <v>187</v>
      </c>
      <c r="J39" s="100">
        <v>14.4</v>
      </c>
      <c r="K39" s="38" t="s">
        <v>54</v>
      </c>
      <c r="L39" s="100">
        <v>75.900000000000006</v>
      </c>
      <c r="M39" s="38" t="s">
        <v>40</v>
      </c>
      <c r="N39" s="38" t="s">
        <v>41</v>
      </c>
      <c r="O39" s="38" t="s">
        <v>258</v>
      </c>
      <c r="P39" s="38" t="s">
        <v>259</v>
      </c>
      <c r="Q39" s="38" t="s">
        <v>102</v>
      </c>
      <c r="R39" s="300">
        <v>11.7</v>
      </c>
      <c r="S39" s="301" t="s">
        <v>260</v>
      </c>
      <c r="T39" s="302"/>
      <c r="U39" s="289">
        <v>0.87</v>
      </c>
      <c r="V39" s="166">
        <v>0.84</v>
      </c>
      <c r="W39" s="279">
        <v>4.556</v>
      </c>
      <c r="X39" s="290" t="s">
        <v>261</v>
      </c>
    </row>
    <row r="40" spans="1:25" ht="86.45" thickTop="1">
      <c r="A40" s="40" t="s">
        <v>262</v>
      </c>
      <c r="B40" s="40" t="s">
        <v>263</v>
      </c>
      <c r="C40" s="40" t="s">
        <v>34</v>
      </c>
      <c r="D40" s="40" t="s">
        <v>146</v>
      </c>
      <c r="E40" s="40">
        <v>2001</v>
      </c>
      <c r="F40" s="40" t="s">
        <v>97</v>
      </c>
      <c r="G40" s="40" t="s">
        <v>37</v>
      </c>
      <c r="H40" s="40" t="s">
        <v>38</v>
      </c>
      <c r="I40" s="135">
        <v>300</v>
      </c>
      <c r="J40" s="135"/>
      <c r="K40" s="40" t="s">
        <v>147</v>
      </c>
      <c r="L40" s="135">
        <v>50.3</v>
      </c>
      <c r="M40" s="40" t="s">
        <v>264</v>
      </c>
      <c r="N40" s="40" t="s">
        <v>265</v>
      </c>
      <c r="O40" s="40" t="s">
        <v>266</v>
      </c>
      <c r="P40" s="40" t="s">
        <v>267</v>
      </c>
      <c r="Q40" s="316" t="s">
        <v>93</v>
      </c>
      <c r="R40" s="151">
        <v>0.7</v>
      </c>
      <c r="S40" s="343" t="s">
        <v>268</v>
      </c>
      <c r="T40" s="288" t="s">
        <v>46</v>
      </c>
      <c r="U40" s="303" t="s">
        <v>54</v>
      </c>
      <c r="V40" s="109" t="s">
        <v>54</v>
      </c>
      <c r="W40" s="344">
        <v>0.7</v>
      </c>
    </row>
    <row r="41" spans="1:25" ht="42.95">
      <c r="A41" s="40"/>
      <c r="B41" s="40" t="s">
        <v>263</v>
      </c>
      <c r="C41" s="40" t="s">
        <v>34</v>
      </c>
      <c r="D41" s="40" t="s">
        <v>146</v>
      </c>
      <c r="E41" s="40">
        <v>2001</v>
      </c>
      <c r="F41" s="40" t="s">
        <v>97</v>
      </c>
      <c r="G41" s="40" t="s">
        <v>37</v>
      </c>
      <c r="H41" s="40" t="s">
        <v>38</v>
      </c>
      <c r="I41" s="135">
        <v>300</v>
      </c>
      <c r="J41" s="135"/>
      <c r="K41" s="40" t="s">
        <v>147</v>
      </c>
      <c r="L41" s="135">
        <v>50.3</v>
      </c>
      <c r="M41" s="40" t="s">
        <v>269</v>
      </c>
      <c r="N41" s="40" t="s">
        <v>265</v>
      </c>
      <c r="O41" s="40" t="s">
        <v>266</v>
      </c>
      <c r="P41" s="40" t="s">
        <v>267</v>
      </c>
      <c r="Q41" s="316" t="s">
        <v>93</v>
      </c>
      <c r="R41" s="151">
        <v>15.8</v>
      </c>
      <c r="S41" s="343" t="s">
        <v>270</v>
      </c>
      <c r="T41" s="288"/>
      <c r="U41" s="289" t="s">
        <v>54</v>
      </c>
      <c r="V41" s="166" t="s">
        <v>54</v>
      </c>
      <c r="W41" s="151">
        <v>15.8</v>
      </c>
    </row>
    <row r="42" spans="1:25" ht="42.95">
      <c r="A42" s="40"/>
      <c r="B42" s="40" t="s">
        <v>263</v>
      </c>
      <c r="C42" s="40" t="s">
        <v>34</v>
      </c>
      <c r="D42" s="40" t="s">
        <v>146</v>
      </c>
      <c r="E42" s="40">
        <v>2001</v>
      </c>
      <c r="F42" s="40" t="s">
        <v>97</v>
      </c>
      <c r="G42" s="40" t="s">
        <v>37</v>
      </c>
      <c r="H42" s="40" t="s">
        <v>38</v>
      </c>
      <c r="I42" s="135">
        <v>300</v>
      </c>
      <c r="J42" s="135"/>
      <c r="K42" s="40" t="s">
        <v>147</v>
      </c>
      <c r="L42" s="135">
        <v>50.3</v>
      </c>
      <c r="M42" s="40" t="s">
        <v>87</v>
      </c>
      <c r="N42" s="40" t="s">
        <v>265</v>
      </c>
      <c r="O42" s="40" t="s">
        <v>266</v>
      </c>
      <c r="P42" s="40" t="s">
        <v>267</v>
      </c>
      <c r="Q42" s="316" t="s">
        <v>93</v>
      </c>
      <c r="R42" s="151">
        <v>0.3</v>
      </c>
      <c r="S42" s="343" t="s">
        <v>271</v>
      </c>
      <c r="T42" s="288"/>
      <c r="U42" s="289" t="s">
        <v>54</v>
      </c>
      <c r="V42" s="166" t="s">
        <v>54</v>
      </c>
      <c r="W42" s="151">
        <v>0.3</v>
      </c>
    </row>
    <row r="43" spans="1:25" ht="42.95">
      <c r="A43" s="40"/>
      <c r="B43" s="40" t="s">
        <v>263</v>
      </c>
      <c r="C43" s="40" t="s">
        <v>34</v>
      </c>
      <c r="D43" s="40" t="s">
        <v>146</v>
      </c>
      <c r="E43" s="40">
        <v>2001</v>
      </c>
      <c r="F43" s="40" t="s">
        <v>97</v>
      </c>
      <c r="G43" s="40" t="s">
        <v>37</v>
      </c>
      <c r="H43" s="40" t="s">
        <v>38</v>
      </c>
      <c r="I43" s="135">
        <v>300</v>
      </c>
      <c r="J43" s="135"/>
      <c r="K43" s="40" t="s">
        <v>147</v>
      </c>
      <c r="L43" s="135">
        <v>50.3</v>
      </c>
      <c r="M43" s="40" t="s">
        <v>40</v>
      </c>
      <c r="N43" s="40" t="s">
        <v>265</v>
      </c>
      <c r="O43" s="40" t="s">
        <v>266</v>
      </c>
      <c r="P43" s="40" t="s">
        <v>267</v>
      </c>
      <c r="Q43" s="316" t="s">
        <v>93</v>
      </c>
      <c r="R43" s="151">
        <v>1.7</v>
      </c>
      <c r="S43" s="343" t="s">
        <v>272</v>
      </c>
      <c r="T43" s="288"/>
      <c r="U43" s="289" t="s">
        <v>54</v>
      </c>
      <c r="V43" s="166" t="s">
        <v>54</v>
      </c>
      <c r="W43" s="151">
        <v>1.7</v>
      </c>
    </row>
    <row r="44" spans="1:25" ht="42.95">
      <c r="A44" s="40"/>
      <c r="B44" s="40" t="s">
        <v>263</v>
      </c>
      <c r="C44" s="40" t="s">
        <v>34</v>
      </c>
      <c r="D44" s="40" t="s">
        <v>146</v>
      </c>
      <c r="E44" s="40">
        <v>2001</v>
      </c>
      <c r="F44" s="40" t="s">
        <v>97</v>
      </c>
      <c r="G44" s="40" t="s">
        <v>37</v>
      </c>
      <c r="H44" s="40" t="s">
        <v>38</v>
      </c>
      <c r="I44" s="135">
        <v>300</v>
      </c>
      <c r="J44" s="135"/>
      <c r="K44" s="40" t="s">
        <v>147</v>
      </c>
      <c r="L44" s="135">
        <v>50.3</v>
      </c>
      <c r="M44" s="40" t="s">
        <v>99</v>
      </c>
      <c r="N44" s="40" t="s">
        <v>265</v>
      </c>
      <c r="O44" s="40" t="s">
        <v>266</v>
      </c>
      <c r="P44" s="40" t="s">
        <v>267</v>
      </c>
      <c r="Q44" s="316" t="s">
        <v>93</v>
      </c>
      <c r="R44" s="151">
        <v>7.6</v>
      </c>
      <c r="S44" s="343" t="s">
        <v>273</v>
      </c>
      <c r="T44" s="288"/>
      <c r="U44" s="289" t="s">
        <v>54</v>
      </c>
      <c r="V44" s="166" t="s">
        <v>54</v>
      </c>
      <c r="W44" s="151">
        <v>7.6</v>
      </c>
    </row>
    <row r="45" spans="1:25" ht="43.35" thickBot="1">
      <c r="A45" s="40"/>
      <c r="B45" s="40" t="s">
        <v>263</v>
      </c>
      <c r="C45" s="40" t="s">
        <v>34</v>
      </c>
      <c r="D45" s="40" t="s">
        <v>146</v>
      </c>
      <c r="E45" s="40">
        <v>2001</v>
      </c>
      <c r="F45" s="40" t="s">
        <v>97</v>
      </c>
      <c r="G45" s="40" t="s">
        <v>37</v>
      </c>
      <c r="H45" s="40" t="s">
        <v>38</v>
      </c>
      <c r="I45" s="135">
        <v>300</v>
      </c>
      <c r="J45" s="135"/>
      <c r="K45" s="40" t="s">
        <v>147</v>
      </c>
      <c r="L45" s="135">
        <v>50.3</v>
      </c>
      <c r="M45" s="40" t="s">
        <v>274</v>
      </c>
      <c r="N45" s="40" t="s">
        <v>265</v>
      </c>
      <c r="O45" s="38" t="s">
        <v>266</v>
      </c>
      <c r="P45" s="40" t="s">
        <v>267</v>
      </c>
      <c r="Q45" s="316" t="s">
        <v>93</v>
      </c>
      <c r="R45" s="151">
        <v>8.1999999999999993</v>
      </c>
      <c r="S45" s="343" t="s">
        <v>275</v>
      </c>
      <c r="T45" s="302"/>
      <c r="U45" s="289" t="s">
        <v>54</v>
      </c>
      <c r="V45" s="166" t="s">
        <v>54</v>
      </c>
      <c r="W45" s="151">
        <v>8.1999999999999993</v>
      </c>
    </row>
    <row r="46" spans="1:25" ht="100.7" thickTop="1">
      <c r="A46" s="345" t="s">
        <v>276</v>
      </c>
      <c r="B46" s="346" t="s">
        <v>277</v>
      </c>
      <c r="C46" s="39" t="s">
        <v>34</v>
      </c>
      <c r="D46" s="39" t="s">
        <v>113</v>
      </c>
      <c r="E46" s="39">
        <v>2018</v>
      </c>
      <c r="F46" s="39" t="s">
        <v>64</v>
      </c>
      <c r="G46" s="39" t="s">
        <v>37</v>
      </c>
      <c r="H46" s="39" t="s">
        <v>52</v>
      </c>
      <c r="I46" s="96">
        <v>779</v>
      </c>
      <c r="J46" s="96"/>
      <c r="K46" s="292" t="s">
        <v>278</v>
      </c>
      <c r="L46" s="96"/>
      <c r="M46" s="39" t="s">
        <v>99</v>
      </c>
      <c r="N46" s="39" t="s">
        <v>41</v>
      </c>
      <c r="O46" s="39" t="s">
        <v>279</v>
      </c>
      <c r="P46" s="39" t="s">
        <v>280</v>
      </c>
      <c r="Q46" s="39" t="s">
        <v>93</v>
      </c>
      <c r="R46" s="293">
        <v>4.9000000000000004</v>
      </c>
      <c r="S46" s="294" t="s">
        <v>281</v>
      </c>
      <c r="T46" s="288" t="s">
        <v>46</v>
      </c>
      <c r="U46" s="303">
        <v>0.61</v>
      </c>
      <c r="V46" s="109">
        <v>0.76</v>
      </c>
      <c r="W46" s="305">
        <v>1.577</v>
      </c>
      <c r="X46" s="290" t="s">
        <v>81</v>
      </c>
    </row>
    <row r="47" spans="1:25" ht="28.7">
      <c r="A47" s="347"/>
      <c r="B47" s="348" t="s">
        <v>277</v>
      </c>
      <c r="C47" s="40" t="s">
        <v>34</v>
      </c>
      <c r="D47" s="40" t="s">
        <v>113</v>
      </c>
      <c r="E47" s="40">
        <v>2018</v>
      </c>
      <c r="F47" s="40" t="s">
        <v>64</v>
      </c>
      <c r="G47" s="40" t="s">
        <v>37</v>
      </c>
      <c r="H47" s="40" t="s">
        <v>52</v>
      </c>
      <c r="I47" s="135">
        <v>779</v>
      </c>
      <c r="J47" s="135"/>
      <c r="K47" s="40" t="s">
        <v>278</v>
      </c>
      <c r="L47" s="135"/>
      <c r="M47" s="40" t="s">
        <v>40</v>
      </c>
      <c r="N47" s="40" t="s">
        <v>41</v>
      </c>
      <c r="O47" s="40" t="s">
        <v>279</v>
      </c>
      <c r="P47" s="40" t="s">
        <v>282</v>
      </c>
      <c r="Q47" s="40" t="s">
        <v>93</v>
      </c>
      <c r="R47" s="286">
        <v>5.4</v>
      </c>
      <c r="S47" s="287" t="s">
        <v>283</v>
      </c>
      <c r="T47" s="288"/>
      <c r="U47" s="289">
        <v>0.61</v>
      </c>
      <c r="V47" s="166">
        <v>0.76</v>
      </c>
      <c r="W47" s="262">
        <v>1.7529999999999999</v>
      </c>
      <c r="X47" s="290" t="s">
        <v>81</v>
      </c>
    </row>
    <row r="48" spans="1:25" ht="28.7">
      <c r="A48" s="347"/>
      <c r="B48" s="348" t="s">
        <v>277</v>
      </c>
      <c r="C48" s="40" t="s">
        <v>34</v>
      </c>
      <c r="D48" s="40" t="s">
        <v>113</v>
      </c>
      <c r="E48" s="40">
        <v>2018</v>
      </c>
      <c r="F48" s="40" t="s">
        <v>64</v>
      </c>
      <c r="G48" s="40" t="s">
        <v>37</v>
      </c>
      <c r="H48" s="40" t="s">
        <v>52</v>
      </c>
      <c r="I48" s="135">
        <v>779</v>
      </c>
      <c r="J48" s="135"/>
      <c r="K48" s="40" t="s">
        <v>278</v>
      </c>
      <c r="L48" s="135"/>
      <c r="M48" s="40" t="s">
        <v>116</v>
      </c>
      <c r="N48" s="40" t="s">
        <v>41</v>
      </c>
      <c r="O48" s="40" t="s">
        <v>279</v>
      </c>
      <c r="P48" s="40" t="s">
        <v>284</v>
      </c>
      <c r="Q48" s="40" t="s">
        <v>93</v>
      </c>
      <c r="R48" s="286">
        <v>4.4000000000000004</v>
      </c>
      <c r="S48" s="287" t="s">
        <v>285</v>
      </c>
      <c r="T48" s="288"/>
      <c r="U48" s="289">
        <v>0.71</v>
      </c>
      <c r="V48" s="166">
        <v>0.72</v>
      </c>
      <c r="W48" s="262">
        <v>1.097</v>
      </c>
      <c r="X48" s="290" t="s">
        <v>81</v>
      </c>
    </row>
    <row r="49" spans="1:24" ht="28.7">
      <c r="A49" s="347"/>
      <c r="B49" s="348" t="s">
        <v>277</v>
      </c>
      <c r="C49" s="40" t="s">
        <v>34</v>
      </c>
      <c r="D49" s="40" t="s">
        <v>113</v>
      </c>
      <c r="E49" s="40">
        <v>2018</v>
      </c>
      <c r="F49" s="40" t="s">
        <v>64</v>
      </c>
      <c r="G49" s="40" t="s">
        <v>37</v>
      </c>
      <c r="H49" s="40" t="s">
        <v>52</v>
      </c>
      <c r="I49" s="135">
        <v>779</v>
      </c>
      <c r="J49" s="135"/>
      <c r="K49" s="40" t="s">
        <v>278</v>
      </c>
      <c r="L49" s="135"/>
      <c r="M49" s="40" t="s">
        <v>286</v>
      </c>
      <c r="N49" s="40" t="s">
        <v>41</v>
      </c>
      <c r="O49" s="40" t="s">
        <v>279</v>
      </c>
      <c r="P49" s="40" t="s">
        <v>282</v>
      </c>
      <c r="Q49" s="40" t="s">
        <v>93</v>
      </c>
      <c r="R49" s="286">
        <v>10.1</v>
      </c>
      <c r="S49" s="287" t="s">
        <v>287</v>
      </c>
      <c r="T49" s="288"/>
      <c r="U49" s="289"/>
      <c r="W49" s="262">
        <v>1.9970000000000001</v>
      </c>
      <c r="X49" s="290" t="s">
        <v>81</v>
      </c>
    </row>
    <row r="50" spans="1:24" ht="28.7">
      <c r="A50" s="347"/>
      <c r="B50" s="348" t="s">
        <v>277</v>
      </c>
      <c r="C50" s="40" t="s">
        <v>34</v>
      </c>
      <c r="D50" s="40" t="s">
        <v>113</v>
      </c>
      <c r="E50" s="40">
        <v>2018</v>
      </c>
      <c r="F50" s="40" t="s">
        <v>64</v>
      </c>
      <c r="G50" s="40" t="s">
        <v>37</v>
      </c>
      <c r="H50" s="40" t="s">
        <v>52</v>
      </c>
      <c r="I50" s="135">
        <v>779</v>
      </c>
      <c r="J50" s="135"/>
      <c r="K50" s="40" t="s">
        <v>278</v>
      </c>
      <c r="L50" s="135"/>
      <c r="M50" s="40" t="s">
        <v>288</v>
      </c>
      <c r="N50" s="40" t="s">
        <v>41</v>
      </c>
      <c r="O50" s="40" t="s">
        <v>279</v>
      </c>
      <c r="P50" s="40" t="s">
        <v>284</v>
      </c>
      <c r="Q50" s="40" t="s">
        <v>93</v>
      </c>
      <c r="R50" s="286">
        <v>11.8</v>
      </c>
      <c r="S50" s="287" t="s">
        <v>289</v>
      </c>
      <c r="T50" s="288"/>
      <c r="U50" s="289">
        <v>0.59</v>
      </c>
      <c r="V50" s="166">
        <v>0.79</v>
      </c>
      <c r="W50" s="262">
        <v>5.1769999999999996</v>
      </c>
      <c r="X50" s="290" t="s">
        <v>81</v>
      </c>
    </row>
    <row r="51" spans="1:24" ht="29.1" thickBot="1">
      <c r="A51" s="349"/>
      <c r="B51" s="350" t="s">
        <v>277</v>
      </c>
      <c r="C51" s="38" t="s">
        <v>34</v>
      </c>
      <c r="D51" s="38" t="s">
        <v>113</v>
      </c>
      <c r="E51" s="38">
        <v>2018</v>
      </c>
      <c r="F51" s="38" t="s">
        <v>64</v>
      </c>
      <c r="G51" s="38" t="s">
        <v>37</v>
      </c>
      <c r="H51" s="38" t="s">
        <v>52</v>
      </c>
      <c r="I51" s="100">
        <v>779</v>
      </c>
      <c r="J51" s="100"/>
      <c r="K51" s="38" t="s">
        <v>278</v>
      </c>
      <c r="L51" s="100"/>
      <c r="M51" s="38" t="s">
        <v>290</v>
      </c>
      <c r="N51" s="38" t="s">
        <v>41</v>
      </c>
      <c r="O51" s="38" t="s">
        <v>279</v>
      </c>
      <c r="P51" s="38" t="s">
        <v>284</v>
      </c>
      <c r="Q51" s="38" t="s">
        <v>93</v>
      </c>
      <c r="R51" s="300">
        <v>5.8</v>
      </c>
      <c r="S51" s="301" t="s">
        <v>291</v>
      </c>
      <c r="T51" s="288"/>
      <c r="U51" s="289">
        <v>0.59</v>
      </c>
      <c r="V51" s="166">
        <v>0.79</v>
      </c>
      <c r="W51" s="262">
        <v>2.2269999999999999</v>
      </c>
      <c r="X51" s="290" t="s">
        <v>81</v>
      </c>
    </row>
    <row r="52" spans="1:24" ht="72.400000000000006" thickTop="1" thickBot="1">
      <c r="A52" s="272" t="s">
        <v>292</v>
      </c>
      <c r="B52" s="42" t="s">
        <v>293</v>
      </c>
      <c r="C52" s="42" t="s">
        <v>63</v>
      </c>
      <c r="D52" s="38" t="s">
        <v>35</v>
      </c>
      <c r="E52" s="42">
        <v>2000</v>
      </c>
      <c r="F52" s="42" t="s">
        <v>97</v>
      </c>
      <c r="G52" s="42" t="s">
        <v>37</v>
      </c>
      <c r="H52" s="42" t="s">
        <v>52</v>
      </c>
      <c r="I52" s="64">
        <v>307</v>
      </c>
      <c r="J52" s="64">
        <v>16.43</v>
      </c>
      <c r="K52" s="42" t="s">
        <v>54</v>
      </c>
      <c r="L52" s="64">
        <v>57.5</v>
      </c>
      <c r="M52" s="42" t="s">
        <v>66</v>
      </c>
      <c r="N52" s="42" t="s">
        <v>265</v>
      </c>
      <c r="O52" s="42" t="s">
        <v>294</v>
      </c>
      <c r="P52" s="42" t="s">
        <v>295</v>
      </c>
      <c r="Q52" s="42" t="s">
        <v>85</v>
      </c>
      <c r="R52" s="274">
        <v>12.1</v>
      </c>
      <c r="S52" s="275" t="s">
        <v>296</v>
      </c>
      <c r="T52" s="280" t="s">
        <v>46</v>
      </c>
      <c r="U52" s="284" t="s">
        <v>54</v>
      </c>
      <c r="V52" s="282" t="s">
        <v>54</v>
      </c>
      <c r="W52" s="274">
        <v>12.1</v>
      </c>
    </row>
    <row r="53" spans="1:24" ht="72.400000000000006" thickTop="1" thickBot="1">
      <c r="A53" s="272" t="s">
        <v>297</v>
      </c>
      <c r="B53" s="42" t="s">
        <v>298</v>
      </c>
      <c r="C53" s="42" t="s">
        <v>63</v>
      </c>
      <c r="D53" s="38" t="s">
        <v>35</v>
      </c>
      <c r="E53" s="42">
        <v>2004</v>
      </c>
      <c r="F53" s="42" t="s">
        <v>97</v>
      </c>
      <c r="G53" s="42" t="s">
        <v>37</v>
      </c>
      <c r="H53" s="42" t="s">
        <v>52</v>
      </c>
      <c r="I53" s="64">
        <v>1140</v>
      </c>
      <c r="J53" s="64">
        <v>15.9</v>
      </c>
      <c r="K53" s="42" t="s">
        <v>54</v>
      </c>
      <c r="L53" s="64">
        <v>56.7</v>
      </c>
      <c r="M53" s="42" t="s">
        <v>66</v>
      </c>
      <c r="N53" s="42" t="s">
        <v>67</v>
      </c>
      <c r="O53" s="42" t="s">
        <v>299</v>
      </c>
      <c r="P53" s="42" t="s">
        <v>300</v>
      </c>
      <c r="Q53" s="42" t="s">
        <v>85</v>
      </c>
      <c r="R53" s="274">
        <v>22</v>
      </c>
      <c r="S53" s="275" t="s">
        <v>301</v>
      </c>
      <c r="T53" s="302" t="s">
        <v>46</v>
      </c>
      <c r="U53" s="284" t="s">
        <v>54</v>
      </c>
      <c r="V53" s="282" t="s">
        <v>54</v>
      </c>
      <c r="W53" s="274">
        <v>22</v>
      </c>
    </row>
    <row r="54" spans="1:24" ht="72" thickTop="1">
      <c r="A54" s="291" t="s">
        <v>302</v>
      </c>
      <c r="B54" s="39" t="s">
        <v>303</v>
      </c>
      <c r="C54" s="39" t="s">
        <v>63</v>
      </c>
      <c r="D54" s="351" t="s">
        <v>35</v>
      </c>
      <c r="E54" s="39">
        <v>2012</v>
      </c>
      <c r="F54" s="39" t="s">
        <v>114</v>
      </c>
      <c r="G54" s="39" t="s">
        <v>37</v>
      </c>
      <c r="H54" s="39" t="s">
        <v>38</v>
      </c>
      <c r="I54" s="96">
        <v>515</v>
      </c>
      <c r="J54" s="96" t="s">
        <v>53</v>
      </c>
      <c r="K54" s="292" t="s">
        <v>304</v>
      </c>
      <c r="L54" s="96">
        <v>70.3</v>
      </c>
      <c r="M54" s="39" t="s">
        <v>40</v>
      </c>
      <c r="N54" s="39" t="s">
        <v>41</v>
      </c>
      <c r="O54" s="39" t="s">
        <v>305</v>
      </c>
      <c r="P54" s="39" t="s">
        <v>306</v>
      </c>
      <c r="Q54" s="39" t="s">
        <v>44</v>
      </c>
      <c r="R54" s="293">
        <v>5.3</v>
      </c>
      <c r="S54" s="294" t="s">
        <v>307</v>
      </c>
      <c r="T54" s="288" t="s">
        <v>46</v>
      </c>
      <c r="U54" s="296">
        <v>0.47</v>
      </c>
      <c r="V54" s="297">
        <v>0.83</v>
      </c>
      <c r="W54" s="298">
        <v>3.1</v>
      </c>
      <c r="X54" s="261" t="s">
        <v>308</v>
      </c>
    </row>
    <row r="55" spans="1:24" ht="29.1" thickBot="1">
      <c r="A55" s="45"/>
      <c r="B55" s="40" t="s">
        <v>303</v>
      </c>
      <c r="C55" s="40" t="s">
        <v>63</v>
      </c>
      <c r="D55" s="40" t="s">
        <v>35</v>
      </c>
      <c r="E55" s="40">
        <v>2012</v>
      </c>
      <c r="F55" s="40" t="s">
        <v>114</v>
      </c>
      <c r="G55" s="40" t="s">
        <v>37</v>
      </c>
      <c r="H55" s="40" t="s">
        <v>38</v>
      </c>
      <c r="I55" s="135">
        <v>515</v>
      </c>
      <c r="J55" s="135" t="s">
        <v>53</v>
      </c>
      <c r="K55" s="40" t="s">
        <v>304</v>
      </c>
      <c r="L55" s="135">
        <v>70.3</v>
      </c>
      <c r="M55" s="40" t="s">
        <v>99</v>
      </c>
      <c r="N55" s="40" t="s">
        <v>41</v>
      </c>
      <c r="O55" s="40" t="s">
        <v>305</v>
      </c>
      <c r="P55" s="40" t="s">
        <v>309</v>
      </c>
      <c r="Q55" s="40" t="s">
        <v>44</v>
      </c>
      <c r="R55" s="352">
        <v>32</v>
      </c>
      <c r="S55" s="353" t="s">
        <v>310</v>
      </c>
      <c r="T55" s="302"/>
      <c r="U55" s="354">
        <v>0.69</v>
      </c>
      <c r="V55" s="166">
        <v>0.63</v>
      </c>
      <c r="W55" s="262">
        <v>13.24</v>
      </c>
      <c r="X55" s="261" t="s">
        <v>308</v>
      </c>
    </row>
    <row r="56" spans="1:24" ht="86.45" thickBot="1">
      <c r="A56" s="355" t="s">
        <v>311</v>
      </c>
      <c r="B56" s="356" t="s">
        <v>312</v>
      </c>
      <c r="C56" s="356" t="s">
        <v>63</v>
      </c>
      <c r="D56" s="356" t="s">
        <v>247</v>
      </c>
      <c r="E56" s="356">
        <v>2017</v>
      </c>
      <c r="F56" s="356" t="s">
        <v>64</v>
      </c>
      <c r="G56" s="356" t="s">
        <v>37</v>
      </c>
      <c r="H56" s="356" t="s">
        <v>38</v>
      </c>
      <c r="I56" s="357">
        <v>320</v>
      </c>
      <c r="J56" s="357">
        <v>13.11</v>
      </c>
      <c r="K56" s="358" t="s">
        <v>313</v>
      </c>
      <c r="L56" s="357">
        <v>65</v>
      </c>
      <c r="M56" s="356" t="s">
        <v>66</v>
      </c>
      <c r="N56" s="356" t="s">
        <v>41</v>
      </c>
      <c r="O56" s="356" t="s">
        <v>314</v>
      </c>
      <c r="P56" s="356" t="s">
        <v>315</v>
      </c>
      <c r="Q56" s="356" t="s">
        <v>85</v>
      </c>
      <c r="R56" s="359">
        <v>4.0999999999999996</v>
      </c>
      <c r="S56" s="360" t="s">
        <v>316</v>
      </c>
      <c r="T56" s="361" t="s">
        <v>46</v>
      </c>
      <c r="U56" s="362"/>
      <c r="V56" s="363"/>
      <c r="W56" s="364">
        <v>0.98140000000000005</v>
      </c>
    </row>
    <row r="57" spans="1:24" ht="115.5">
      <c r="A57" s="316" t="s">
        <v>317</v>
      </c>
      <c r="B57" s="316" t="s">
        <v>318</v>
      </c>
      <c r="C57" s="316" t="s">
        <v>63</v>
      </c>
      <c r="D57" s="316" t="s">
        <v>35</v>
      </c>
      <c r="E57" s="316">
        <v>2024</v>
      </c>
      <c r="F57" s="316" t="s">
        <v>97</v>
      </c>
      <c r="G57" s="316" t="s">
        <v>156</v>
      </c>
      <c r="H57" s="316" t="s">
        <v>190</v>
      </c>
      <c r="I57" s="135">
        <v>66</v>
      </c>
      <c r="J57" s="135" t="s">
        <v>53</v>
      </c>
      <c r="K57" s="365" t="s">
        <v>319</v>
      </c>
      <c r="L57" s="135">
        <v>17</v>
      </c>
      <c r="M57" s="39" t="s">
        <v>40</v>
      </c>
      <c r="N57" s="316" t="s">
        <v>41</v>
      </c>
      <c r="O57" s="316" t="s">
        <v>320</v>
      </c>
      <c r="P57" s="39" t="s">
        <v>43</v>
      </c>
      <c r="Q57" s="316" t="s">
        <v>194</v>
      </c>
      <c r="R57" s="151">
        <v>46.9</v>
      </c>
      <c r="S57" s="317" t="s">
        <v>321</v>
      </c>
      <c r="T57" s="313" t="s">
        <v>196</v>
      </c>
      <c r="U57" s="303" t="s">
        <v>47</v>
      </c>
      <c r="V57" s="109">
        <v>0.74</v>
      </c>
      <c r="W57" s="305">
        <v>37.97</v>
      </c>
      <c r="X57" s="187" t="s">
        <v>48</v>
      </c>
    </row>
    <row r="58" spans="1:24" ht="29.25">
      <c r="A58" s="366"/>
      <c r="B58" s="314" t="s">
        <v>318</v>
      </c>
      <c r="C58" s="314" t="s">
        <v>63</v>
      </c>
      <c r="D58" s="314" t="s">
        <v>35</v>
      </c>
      <c r="E58" s="314">
        <v>2024</v>
      </c>
      <c r="F58" s="314" t="s">
        <v>97</v>
      </c>
      <c r="G58" s="314" t="s">
        <v>156</v>
      </c>
      <c r="H58" s="314" t="s">
        <v>190</v>
      </c>
      <c r="I58" s="367">
        <v>100</v>
      </c>
      <c r="J58" s="367" t="s">
        <v>53</v>
      </c>
      <c r="K58" s="314" t="s">
        <v>319</v>
      </c>
      <c r="L58" s="367">
        <v>17</v>
      </c>
      <c r="M58" s="314" t="s">
        <v>99</v>
      </c>
      <c r="N58" s="314" t="s">
        <v>41</v>
      </c>
      <c r="O58" s="314" t="s">
        <v>198</v>
      </c>
      <c r="P58" s="336" t="s">
        <v>199</v>
      </c>
      <c r="Q58" s="314" t="s">
        <v>194</v>
      </c>
      <c r="R58" s="352">
        <v>21</v>
      </c>
      <c r="S58" s="368" t="s">
        <v>322</v>
      </c>
      <c r="T58" s="368" t="s">
        <v>53</v>
      </c>
      <c r="U58" s="369">
        <v>0.76</v>
      </c>
      <c r="V58" s="370">
        <v>0.64</v>
      </c>
      <c r="W58" s="371">
        <v>7.093</v>
      </c>
      <c r="X58" s="187" t="s">
        <v>201</v>
      </c>
    </row>
    <row r="59" spans="1:24">
      <c r="W59" s="260"/>
    </row>
    <row r="60" spans="1:24">
      <c r="W60" s="260"/>
    </row>
    <row r="61" spans="1:24">
      <c r="A61" s="41">
        <f>COUNTA(A3:A58)</f>
        <v>30</v>
      </c>
      <c r="W61" s="260"/>
    </row>
    <row r="62" spans="1:24">
      <c r="W62" s="260"/>
    </row>
    <row r="63" spans="1:24">
      <c r="A63" s="41" t="s">
        <v>53</v>
      </c>
      <c r="W63" s="260"/>
    </row>
    <row r="64" spans="1:24">
      <c r="W64" s="260"/>
    </row>
    <row r="65" spans="23:23">
      <c r="W65" s="260"/>
    </row>
    <row r="66" spans="23:23">
      <c r="W66" s="260"/>
    </row>
    <row r="67" spans="23:23">
      <c r="W67" s="260"/>
    </row>
    <row r="68" spans="23:23">
      <c r="W68" s="260"/>
    </row>
    <row r="69" spans="23:23">
      <c r="W69" s="260"/>
    </row>
    <row r="70" spans="23:23">
      <c r="W70" s="260"/>
    </row>
    <row r="71" spans="23:23">
      <c r="W71" s="260"/>
    </row>
    <row r="72" spans="23:23">
      <c r="W72" s="260"/>
    </row>
    <row r="73" spans="23:23">
      <c r="W73" s="260"/>
    </row>
    <row r="74" spans="23:23">
      <c r="W74" s="260"/>
    </row>
    <row r="75" spans="23:23">
      <c r="W75" s="260"/>
    </row>
    <row r="76" spans="23:23">
      <c r="W76" s="260"/>
    </row>
    <row r="77" spans="23:23">
      <c r="W77" s="260"/>
    </row>
    <row r="78" spans="23:23">
      <c r="W78" s="260"/>
    </row>
    <row r="79" spans="23:23">
      <c r="W79" s="260"/>
    </row>
    <row r="80" spans="23:23">
      <c r="W80" s="260"/>
    </row>
    <row r="81" spans="23:23">
      <c r="W81" s="260"/>
    </row>
    <row r="82" spans="23:23">
      <c r="W82" s="260"/>
    </row>
    <row r="83" spans="23:23">
      <c r="W83" s="260"/>
    </row>
    <row r="84" spans="23:23">
      <c r="W84" s="260"/>
    </row>
    <row r="85" spans="23:23">
      <c r="W85" s="260"/>
    </row>
    <row r="86" spans="23:23">
      <c r="W86" s="260"/>
    </row>
    <row r="87" spans="23:23">
      <c r="W87" s="260"/>
    </row>
    <row r="88" spans="23:23">
      <c r="W88" s="260"/>
    </row>
    <row r="89" spans="23:23">
      <c r="W89" s="260"/>
    </row>
    <row r="90" spans="23:23">
      <c r="W90" s="260"/>
    </row>
    <row r="91" spans="23:23">
      <c r="W91" s="260"/>
    </row>
    <row r="92" spans="23:23">
      <c r="W92" s="260"/>
    </row>
    <row r="93" spans="23:23">
      <c r="W93" s="260"/>
    </row>
    <row r="94" spans="23:23">
      <c r="W94" s="260"/>
    </row>
    <row r="95" spans="23:23">
      <c r="W95" s="260"/>
    </row>
    <row r="96" spans="23:23">
      <c r="W96" s="260"/>
    </row>
    <row r="97" spans="23:23">
      <c r="W97" s="260"/>
    </row>
    <row r="98" spans="23:23">
      <c r="W98" s="260"/>
    </row>
    <row r="99" spans="23:23">
      <c r="W99" s="260"/>
    </row>
    <row r="100" spans="23:23">
      <c r="W100" s="260"/>
    </row>
    <row r="101" spans="23:23">
      <c r="W101" s="260"/>
    </row>
    <row r="102" spans="23:23">
      <c r="W102" s="260"/>
    </row>
    <row r="103" spans="23:23">
      <c r="W103" s="260"/>
    </row>
    <row r="104" spans="23:23">
      <c r="W104" s="260"/>
    </row>
    <row r="105" spans="23:23">
      <c r="W105" s="260"/>
    </row>
    <row r="106" spans="23:23">
      <c r="W106" s="260"/>
    </row>
    <row r="107" spans="23:23">
      <c r="W107" s="260"/>
    </row>
    <row r="108" spans="23:23">
      <c r="W108" s="260"/>
    </row>
    <row r="109" spans="23:23">
      <c r="W109" s="260"/>
    </row>
    <row r="110" spans="23:23">
      <c r="W110" s="260"/>
    </row>
    <row r="111" spans="23:23">
      <c r="W111" s="260"/>
    </row>
    <row r="112" spans="23:23">
      <c r="W112" s="260"/>
    </row>
    <row r="113" spans="23:23">
      <c r="W113" s="260"/>
    </row>
    <row r="114" spans="23:23">
      <c r="W114" s="260"/>
    </row>
    <row r="115" spans="23:23">
      <c r="W115" s="260"/>
    </row>
    <row r="116" spans="23:23">
      <c r="W116" s="260"/>
    </row>
    <row r="117" spans="23:23">
      <c r="W117" s="260"/>
    </row>
    <row r="118" spans="23:23">
      <c r="W118" s="260"/>
    </row>
    <row r="119" spans="23:23">
      <c r="W119" s="260"/>
    </row>
    <row r="120" spans="23:23">
      <c r="W120" s="260"/>
    </row>
    <row r="121" spans="23:23">
      <c r="W121" s="260"/>
    </row>
    <row r="122" spans="23:23">
      <c r="W122" s="260"/>
    </row>
    <row r="123" spans="23:23">
      <c r="W123" s="260"/>
    </row>
    <row r="124" spans="23:23">
      <c r="W124" s="260"/>
    </row>
    <row r="125" spans="23:23">
      <c r="W125" s="260"/>
    </row>
    <row r="126" spans="23:23">
      <c r="W126" s="260"/>
    </row>
    <row r="127" spans="23:23">
      <c r="W127" s="260"/>
    </row>
    <row r="128" spans="23:23">
      <c r="W128" s="260"/>
    </row>
    <row r="129" spans="23:23">
      <c r="W129" s="260"/>
    </row>
  </sheetData>
  <phoneticPr fontId="17" type="noConversion"/>
  <dataValidations count="6">
    <dataValidation type="list" allowBlank="1" showInputMessage="1" showErrorMessage="1" sqref="Q57:Q58 Q25:Q26" xr:uid="{CE3B145B-5053-4D2D-9DDB-B40A862752F0}">
      <formula1>"1-wee, 2-week, 1-month, 3-month, 6-months, 12-months, Lifetime"</formula1>
    </dataValidation>
    <dataValidation type="list" allowBlank="1" showInputMessage="1" showErrorMessage="1" sqref="N57:N58 N25:N26" xr:uid="{F56BEA76-F2DA-4D1F-8F9C-515011B2B0D8}">
      <formula1>"Symptom severity, Diagnosis"</formula1>
    </dataValidation>
    <dataValidation type="list" allowBlank="1" showInputMessage="1" showErrorMessage="1" sqref="H57:H58 H25:H26" xr:uid="{4C8073CD-60EF-4723-ABDB-0B70A337D8F2}">
      <formula1>"Convenience, Probability"</formula1>
    </dataValidation>
    <dataValidation type="list" allowBlank="1" showInputMessage="1" showErrorMessage="1" sqref="G57:G58 G25:G26" xr:uid="{7BD832F0-124E-452B-8A91-BD17FA9A910B}">
      <formula1>"Cross-sectional, Longitudinal"</formula1>
    </dataValidation>
    <dataValidation type="list" allowBlank="1" showInputMessage="1" showErrorMessage="1" sqref="D57:D58 D25:D26" xr:uid="{0B5A0F02-FCAA-4349-89AE-C4227EC3FADE}">
      <formula1>"Self-report, Observation, Self-report + Observation"</formula1>
    </dataValidation>
    <dataValidation type="list" allowBlank="1" showInputMessage="1" showErrorMessage="1" sqref="C57:C58 C25:C26" xr:uid="{7D6E48E7-A238-40F0-BE9F-754C7BEF3CA3}">
      <formula1>"Survey (community-based), Survey (school-based), Registers"</formula1>
    </dataValidation>
  </dataValidations>
  <hyperlinks>
    <hyperlink ref="X11" r:id="rId1" display="https://capp.ucsf.edu/sites/g/files/tkssra6871/f/SMFQ Scoring.pdf" xr:uid="{F9F0B2D7-26BF-4154-B2C4-F3D543073B1C}"/>
    <hyperlink ref="X13" r:id="rId2" location="t4-ccap16_2p080" display="https://pmc.ncbi.nlm.nih.gov/articles/PMC2242646/ - t4-ccap16_2p080" xr:uid="{B2BEFA20-A364-4D00-ADEC-B9B1F78C2D66}"/>
    <hyperlink ref="X14" r:id="rId3" display="https://link.springer.com/article/10.1186/s12888-016-1178-x" xr:uid="{CB1D0CB7-6C80-4887-AF80-E69C104E8E1E}"/>
    <hyperlink ref="X16" r:id="rId4" display="https://www.tandfonline.com/doi/full/10.1080/15374416.2017.1350962" xr:uid="{8E960798-D2C4-4F67-84C7-C05EC30B509A}"/>
    <hyperlink ref="X4" r:id="rId5" display="https://link.springer.com/article/10.1007/s10578-023-01553-6" xr:uid="{E775DA54-2474-4EA9-8519-E7BCBF3006DD}"/>
    <hyperlink ref="X30" r:id="rId6" display="https://link.springer.com/article/10.1007/s10578-023-01553-6" xr:uid="{5E907F8D-63BE-4E93-BC80-59933D01A329}"/>
    <hyperlink ref="X3" r:id="rId7" display="https://link.springer.com/content/pdf/10.1007/s10578-023-01553-6.pdf" xr:uid="{151BEC59-2301-4CF3-93C3-1C1EB85965A0}"/>
    <hyperlink ref="X25" r:id="rId8" display="https://www.sciencedirect.com/science/article/pii/S1054139X22006504" xr:uid="{B1D4280D-B7E9-419A-8065-781AA5A4F92F}"/>
    <hyperlink ref="X15" r:id="rId9" display="https://link.springer.com/article/10.1007/s00787-006-0557-0" xr:uid="{440326B3-7865-4850-82C5-D7B4F5BEEB60}"/>
    <hyperlink ref="X57" r:id="rId10" display="https://link.springer.com/content/pdf/10.1007/s10578-023-01553-6.pdf" xr:uid="{8F6A2422-975C-4EE4-968B-63200BADC61E}"/>
    <hyperlink ref="X20" r:id="rId11" display="https://www.sciencedirect.com/science/article/pii/S0376871619300626" xr:uid="{EE1D3514-C0E3-4B3A-B4F3-FDAA22ED0CF8}"/>
    <hyperlink ref="X8" r:id="rId12" display="https://acamh.onlinelibrary.wiley.com/doi/abs/10.1111/j.1475-3588.2007.00461.x" xr:uid="{44818235-3CCE-42D1-9ED9-CCF02BF09863}"/>
    <hyperlink ref="X6" r:id="rId13" display="https://acamh.onlinelibrary.wiley.com/doi/abs/10.1111/j.1475-3588.2007.00461.x" xr:uid="{E589C969-BA17-4735-B846-2E2B2412EBD7}"/>
    <hyperlink ref="X35" r:id="rId14" display="https://acamh.onlinelibrary.wiley.com/doi/abs/10.1111/j.1475-3588.2007.00461.x" xr:uid="{7F378BD2-C0FE-472D-8704-D1C6EF94EF52}"/>
    <hyperlink ref="X36:X38" r:id="rId15" display="https://acamh.onlinelibrary.wiley.com/doi/abs/10.1111/j.1475-3588.2007.00461.x" xr:uid="{3AE237FB-5C8B-4288-80FA-626AEF7BCDFC}"/>
    <hyperlink ref="X39" r:id="rId16" display="https://link.springer.com/article/10.1186/s13034-024-00763-7" xr:uid="{67C184E1-1663-4DD8-92B8-0F09966A40AE}"/>
    <hyperlink ref="X46" r:id="rId17" display="https://acamh.onlinelibrary.wiley.com/doi/abs/10.1111/j.1475-3588.2007.00461.x" xr:uid="{D8F09328-B5F7-48DA-AAA3-ABC01C3ADC3C}"/>
    <hyperlink ref="X47:X50" r:id="rId18" display="https://acamh.onlinelibrary.wiley.com/doi/abs/10.1111/j.1475-3588.2007.00461.x" xr:uid="{147BC0A4-5AA3-40D1-81E2-1006B1838AF1}"/>
    <hyperlink ref="X51" r:id="rId19" display="https://acamh.onlinelibrary.wiley.com/doi/abs/10.1111/j.1475-3588.2007.00461.x" xr:uid="{D14414E9-251C-4676-B5EF-2800D4BC66C6}"/>
  </hyperlinks>
  <pageMargins left="0.7" right="0.7" top="0.75" bottom="0.75" header="0.3" footer="0.3"/>
  <pageSetup orientation="portrait"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7F6E-503A-4658-B076-1E685BE16F44}">
  <dimension ref="A1:E12"/>
  <sheetViews>
    <sheetView zoomScale="145" zoomScaleNormal="145" workbookViewId="0">
      <selection activeCell="B23" sqref="B23"/>
    </sheetView>
  </sheetViews>
  <sheetFormatPr defaultRowHeight="14.45"/>
  <cols>
    <col min="1" max="1" width="30.42578125" customWidth="1"/>
    <col min="2" max="5" width="25.28515625" style="43" customWidth="1"/>
  </cols>
  <sheetData>
    <row r="1" spans="1:5" ht="14.65" thickBot="1">
      <c r="A1" t="s">
        <v>323</v>
      </c>
    </row>
    <row r="2" spans="1:5" ht="14.65" thickBot="1">
      <c r="A2" s="253"/>
      <c r="B2" s="372" t="s">
        <v>324</v>
      </c>
      <c r="C2" s="374" t="s">
        <v>325</v>
      </c>
      <c r="D2" s="375"/>
      <c r="E2" s="372" t="s">
        <v>326</v>
      </c>
    </row>
    <row r="3" spans="1:5" ht="43.35" thickBot="1">
      <c r="A3" s="254"/>
      <c r="B3" s="373"/>
      <c r="C3" s="256" t="s">
        <v>327</v>
      </c>
      <c r="D3" s="256" t="s">
        <v>328</v>
      </c>
      <c r="E3" s="373"/>
    </row>
    <row r="4" spans="1:5" ht="14.65" thickBot="1">
      <c r="A4" s="255" t="s">
        <v>329</v>
      </c>
      <c r="B4" s="256">
        <v>21</v>
      </c>
      <c r="C4" s="256">
        <v>16209</v>
      </c>
      <c r="D4" s="257">
        <v>0.22900000000000001</v>
      </c>
      <c r="E4" s="258">
        <v>0.1</v>
      </c>
    </row>
    <row r="5" spans="1:5" ht="14.65" thickBot="1">
      <c r="A5" s="255" t="s">
        <v>330</v>
      </c>
      <c r="B5" s="256">
        <v>13</v>
      </c>
      <c r="C5" s="256">
        <v>9346</v>
      </c>
      <c r="D5" s="257">
        <v>0.13200000000000001</v>
      </c>
      <c r="E5" s="258">
        <v>0.21</v>
      </c>
    </row>
    <row r="6" spans="1:5" ht="14.65" thickBot="1">
      <c r="A6" s="255" t="s">
        <v>331</v>
      </c>
      <c r="B6" s="256">
        <v>10</v>
      </c>
      <c r="C6" s="256">
        <v>9265</v>
      </c>
      <c r="D6" s="257">
        <v>0.13100000000000001</v>
      </c>
      <c r="E6" s="258">
        <v>0.22</v>
      </c>
    </row>
    <row r="7" spans="1:5" ht="14.65" thickBot="1">
      <c r="A7" s="255" t="s">
        <v>332</v>
      </c>
      <c r="B7" s="256">
        <v>8</v>
      </c>
      <c r="C7" s="256">
        <v>5245</v>
      </c>
      <c r="D7" s="257">
        <v>7.3999999999999996E-2</v>
      </c>
      <c r="E7" s="258">
        <v>0.05</v>
      </c>
    </row>
    <row r="8" spans="1:5" ht="14.65" thickBot="1">
      <c r="A8" s="255" t="s">
        <v>333</v>
      </c>
      <c r="B8" s="256">
        <v>8</v>
      </c>
      <c r="C8" s="256">
        <v>8630</v>
      </c>
      <c r="D8" s="257">
        <v>0.122</v>
      </c>
      <c r="E8" s="258">
        <v>0.08</v>
      </c>
    </row>
    <row r="9" spans="1:5" ht="14.65" thickBot="1">
      <c r="A9" s="255" t="s">
        <v>334</v>
      </c>
      <c r="B9" s="256">
        <v>7</v>
      </c>
      <c r="C9" s="256">
        <v>5198</v>
      </c>
      <c r="D9" s="257">
        <v>7.3999999999999996E-2</v>
      </c>
      <c r="E9" s="258">
        <v>0.12</v>
      </c>
    </row>
    <row r="10" spans="1:5" ht="14.65" thickBot="1">
      <c r="A10" s="255" t="s">
        <v>335</v>
      </c>
      <c r="B10" s="256">
        <v>6</v>
      </c>
      <c r="C10" s="256">
        <v>6459</v>
      </c>
      <c r="D10" s="257">
        <v>9.0999999999999998E-2</v>
      </c>
      <c r="E10" s="258">
        <v>0.12</v>
      </c>
    </row>
    <row r="11" spans="1:5" ht="14.65" thickBot="1">
      <c r="A11" s="255" t="s">
        <v>336</v>
      </c>
      <c r="B11" s="256">
        <v>6</v>
      </c>
      <c r="C11" s="256">
        <v>6344</v>
      </c>
      <c r="D11" s="257">
        <v>0.09</v>
      </c>
      <c r="E11" s="258">
        <v>0.02</v>
      </c>
    </row>
    <row r="12" spans="1:5" ht="14.65" thickBot="1">
      <c r="A12" s="255" t="s">
        <v>337</v>
      </c>
      <c r="B12" s="256">
        <v>5</v>
      </c>
      <c r="C12" s="256">
        <v>3977</v>
      </c>
      <c r="D12" s="257">
        <v>5.6000000000000001E-2</v>
      </c>
      <c r="E12" s="258">
        <v>7.0000000000000007E-2</v>
      </c>
    </row>
  </sheetData>
  <mergeCells count="3">
    <mergeCell ref="B2:B3"/>
    <mergeCell ref="C2:D2"/>
    <mergeCell ref="E2:E3"/>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0182-31C6-43B9-9618-E39FC3922EB0}">
  <dimension ref="A1:V35"/>
  <sheetViews>
    <sheetView topLeftCell="A34" zoomScale="103" zoomScaleNormal="100" workbookViewId="0">
      <selection activeCell="A34" sqref="A34"/>
    </sheetView>
  </sheetViews>
  <sheetFormatPr defaultRowHeight="14.45"/>
  <cols>
    <col min="1" max="1" width="36.42578125" customWidth="1"/>
    <col min="2" max="2" width="13" customWidth="1"/>
    <col min="3" max="3" width="24.140625" customWidth="1"/>
    <col min="4" max="4" width="13.140625" style="177" customWidth="1"/>
    <col min="5" max="5" width="12.5703125" customWidth="1"/>
    <col min="6" max="6" width="11.85546875" style="41" customWidth="1"/>
    <col min="7" max="7" width="15.140625" style="41" customWidth="1"/>
    <col min="8" max="8" width="14.42578125" style="41" customWidth="1"/>
    <col min="9" max="13" width="8.85546875" customWidth="1"/>
    <col min="14" max="14" width="20.140625" customWidth="1"/>
    <col min="15" max="15" width="11.85546875" customWidth="1"/>
    <col min="16" max="16" width="26.42578125" customWidth="1"/>
    <col min="17" max="18" width="8.85546875" customWidth="1"/>
    <col min="19" max="19" width="15.140625" customWidth="1"/>
    <col min="20" max="20" width="9.85546875" customWidth="1"/>
  </cols>
  <sheetData>
    <row r="1" spans="1:20" ht="28.7">
      <c r="A1" s="252" t="s">
        <v>338</v>
      </c>
      <c r="B1" s="108"/>
      <c r="C1" s="108"/>
      <c r="D1" s="108"/>
      <c r="E1" s="109"/>
      <c r="F1" s="108"/>
      <c r="G1" s="108"/>
      <c r="H1" s="108"/>
      <c r="I1" s="109"/>
      <c r="J1" s="109"/>
      <c r="K1" s="109"/>
      <c r="L1" s="109"/>
      <c r="M1" s="109"/>
      <c r="N1" s="108"/>
      <c r="O1" s="108"/>
      <c r="P1" s="110"/>
      <c r="Q1" s="109"/>
      <c r="R1" s="109"/>
      <c r="S1" s="111"/>
      <c r="T1" s="166"/>
    </row>
    <row r="2" spans="1:20" ht="57.95" thickTop="1" thickBot="1">
      <c r="A2" s="112" t="s">
        <v>339</v>
      </c>
      <c r="B2" s="44" t="s">
        <v>340</v>
      </c>
      <c r="C2" s="44" t="s">
        <v>10</v>
      </c>
      <c r="D2" s="44" t="s">
        <v>11</v>
      </c>
      <c r="E2" s="58" t="s">
        <v>341</v>
      </c>
      <c r="F2" s="44" t="s">
        <v>342</v>
      </c>
      <c r="G2" s="44" t="s">
        <v>343</v>
      </c>
      <c r="H2" s="44" t="s">
        <v>344</v>
      </c>
      <c r="I2" s="58" t="s">
        <v>345</v>
      </c>
      <c r="J2" s="58" t="s">
        <v>346</v>
      </c>
      <c r="K2" s="58" t="s">
        <v>347</v>
      </c>
      <c r="L2" s="59" t="s">
        <v>348</v>
      </c>
      <c r="M2" s="58" t="s">
        <v>349</v>
      </c>
      <c r="N2" s="44" t="s">
        <v>350</v>
      </c>
      <c r="O2" s="44" t="s">
        <v>351</v>
      </c>
      <c r="P2" s="44" t="s">
        <v>352</v>
      </c>
      <c r="Q2" s="58" t="s">
        <v>353</v>
      </c>
      <c r="R2" s="58" t="s">
        <v>354</v>
      </c>
      <c r="S2" s="58" t="s">
        <v>355</v>
      </c>
      <c r="T2" s="171" t="s">
        <v>356</v>
      </c>
    </row>
    <row r="3" spans="1:20" ht="57.95" thickTop="1" thickBot="1">
      <c r="A3" s="113" t="s">
        <v>357</v>
      </c>
      <c r="B3" s="42" t="s">
        <v>358</v>
      </c>
      <c r="C3" s="42" t="s">
        <v>359</v>
      </c>
      <c r="D3" s="42" t="s">
        <v>54</v>
      </c>
      <c r="E3" s="64">
        <v>2008</v>
      </c>
      <c r="F3" s="42" t="s">
        <v>360</v>
      </c>
      <c r="G3" s="42" t="s">
        <v>37</v>
      </c>
      <c r="H3" s="42" t="s">
        <v>52</v>
      </c>
      <c r="I3" s="64">
        <v>2001</v>
      </c>
      <c r="J3" s="64">
        <v>100000</v>
      </c>
      <c r="K3" s="64"/>
      <c r="L3" s="65" t="s">
        <v>361</v>
      </c>
      <c r="M3" s="64" t="s">
        <v>54</v>
      </c>
      <c r="N3" s="42" t="s">
        <v>362</v>
      </c>
      <c r="O3" s="42"/>
      <c r="P3" s="42" t="s">
        <v>363</v>
      </c>
      <c r="Q3" s="64" t="s">
        <v>53</v>
      </c>
      <c r="R3" s="64">
        <v>0.4</v>
      </c>
      <c r="S3" s="64" t="s">
        <v>364</v>
      </c>
      <c r="T3" s="172" t="s">
        <v>196</v>
      </c>
    </row>
    <row r="4" spans="1:20" ht="285.60000000000002" customHeight="1" thickTop="1">
      <c r="A4" s="114" t="s">
        <v>365</v>
      </c>
      <c r="B4" s="50" t="s">
        <v>366</v>
      </c>
      <c r="C4" s="50" t="s">
        <v>367</v>
      </c>
      <c r="D4" s="50" t="s">
        <v>368</v>
      </c>
      <c r="E4" s="66">
        <v>2015</v>
      </c>
      <c r="F4" s="50" t="s">
        <v>369</v>
      </c>
      <c r="G4" s="50" t="s">
        <v>125</v>
      </c>
      <c r="H4" s="50" t="s">
        <v>370</v>
      </c>
      <c r="I4" s="66">
        <v>2009</v>
      </c>
      <c r="J4" s="66">
        <v>3515</v>
      </c>
      <c r="K4" s="66">
        <v>13.45</v>
      </c>
      <c r="L4" s="67" t="s">
        <v>371</v>
      </c>
      <c r="M4" s="178">
        <v>0.56699999999999995</v>
      </c>
      <c r="N4" s="68" t="s">
        <v>372</v>
      </c>
      <c r="O4" s="50" t="s">
        <v>373</v>
      </c>
      <c r="P4" s="50" t="s">
        <v>374</v>
      </c>
      <c r="Q4" s="66" t="s">
        <v>85</v>
      </c>
      <c r="R4" s="66">
        <v>7.1</v>
      </c>
      <c r="S4" s="67" t="s">
        <v>375</v>
      </c>
      <c r="T4" s="173" t="s">
        <v>196</v>
      </c>
    </row>
    <row r="5" spans="1:20" ht="217.9" customHeight="1">
      <c r="A5" s="115"/>
      <c r="B5" s="116"/>
      <c r="C5" s="116"/>
      <c r="D5" s="116"/>
      <c r="E5" s="117"/>
      <c r="F5" s="116"/>
      <c r="G5" s="116"/>
      <c r="H5" s="116"/>
      <c r="I5" s="117"/>
      <c r="J5" s="117"/>
      <c r="K5" s="117"/>
      <c r="L5" s="118"/>
      <c r="M5" s="117"/>
      <c r="N5" s="119" t="s">
        <v>376</v>
      </c>
      <c r="O5" s="116" t="s">
        <v>373</v>
      </c>
      <c r="P5" s="116" t="s">
        <v>374</v>
      </c>
      <c r="Q5" s="117" t="s">
        <v>85</v>
      </c>
      <c r="R5" s="184">
        <v>5.04</v>
      </c>
      <c r="S5" s="118" t="s">
        <v>377</v>
      </c>
      <c r="T5" s="173"/>
    </row>
    <row r="6" spans="1:20" ht="210" customHeight="1">
      <c r="A6" s="115"/>
      <c r="B6" s="116"/>
      <c r="C6" s="116"/>
      <c r="D6" s="116"/>
      <c r="E6" s="117"/>
      <c r="F6" s="116"/>
      <c r="G6" s="116"/>
      <c r="H6" s="116"/>
      <c r="I6" s="117"/>
      <c r="J6" s="117"/>
      <c r="K6" s="117"/>
      <c r="L6" s="118"/>
      <c r="M6" s="117"/>
      <c r="N6" s="119" t="s">
        <v>378</v>
      </c>
      <c r="O6" s="116" t="s">
        <v>373</v>
      </c>
      <c r="P6" s="116" t="s">
        <v>374</v>
      </c>
      <c r="Q6" s="117" t="s">
        <v>85</v>
      </c>
      <c r="R6" s="184">
        <v>3.4</v>
      </c>
      <c r="S6" s="118" t="s">
        <v>379</v>
      </c>
      <c r="T6" s="173"/>
    </row>
    <row r="7" spans="1:20" ht="202.15" customHeight="1">
      <c r="A7" s="115" t="s">
        <v>53</v>
      </c>
      <c r="B7" s="116"/>
      <c r="C7" s="116" t="s">
        <v>367</v>
      </c>
      <c r="D7" s="116" t="s">
        <v>368</v>
      </c>
      <c r="E7" s="117">
        <v>2015</v>
      </c>
      <c r="F7" s="116" t="s">
        <v>369</v>
      </c>
      <c r="G7" s="116" t="s">
        <v>125</v>
      </c>
      <c r="H7" s="116" t="s">
        <v>370</v>
      </c>
      <c r="I7" s="117">
        <v>2011</v>
      </c>
      <c r="J7" s="117">
        <v>3401</v>
      </c>
      <c r="K7" s="117">
        <v>14.67</v>
      </c>
      <c r="L7" s="118" t="s">
        <v>371</v>
      </c>
      <c r="M7" s="179">
        <v>0.54600000000000004</v>
      </c>
      <c r="N7" s="119" t="s">
        <v>372</v>
      </c>
      <c r="O7" s="116" t="s">
        <v>373</v>
      </c>
      <c r="P7" s="116" t="s">
        <v>374</v>
      </c>
      <c r="Q7" s="117" t="s">
        <v>85</v>
      </c>
      <c r="R7" s="184">
        <v>7.24</v>
      </c>
      <c r="S7" s="117" t="s">
        <v>380</v>
      </c>
      <c r="T7" s="173"/>
    </row>
    <row r="8" spans="1:20" ht="207.6" customHeight="1">
      <c r="A8" s="115"/>
      <c r="B8" s="116"/>
      <c r="C8" s="116"/>
      <c r="D8" s="116"/>
      <c r="E8" s="117"/>
      <c r="F8" s="116"/>
      <c r="G8" s="116"/>
      <c r="H8" s="116"/>
      <c r="I8" s="117"/>
      <c r="J8" s="117"/>
      <c r="K8" s="117"/>
      <c r="L8" s="118"/>
      <c r="M8" s="117"/>
      <c r="N8" s="119" t="s">
        <v>378</v>
      </c>
      <c r="O8" s="116" t="s">
        <v>373</v>
      </c>
      <c r="P8" s="116" t="s">
        <v>374</v>
      </c>
      <c r="Q8" s="117" t="s">
        <v>85</v>
      </c>
      <c r="R8" s="117">
        <v>3.3</v>
      </c>
      <c r="S8" s="117" t="s">
        <v>381</v>
      </c>
      <c r="T8" s="173"/>
    </row>
    <row r="9" spans="1:20" ht="219.6" customHeight="1" thickBot="1">
      <c r="A9" s="120"/>
      <c r="B9" s="51"/>
      <c r="C9" s="51"/>
      <c r="D9" s="51"/>
      <c r="E9" s="69"/>
      <c r="F9" s="51"/>
      <c r="G9" s="51"/>
      <c r="H9" s="51"/>
      <c r="I9" s="69"/>
      <c r="J9" s="69"/>
      <c r="K9" s="69"/>
      <c r="L9" s="70"/>
      <c r="M9" s="69"/>
      <c r="N9" s="71" t="s">
        <v>376</v>
      </c>
      <c r="O9" s="51" t="s">
        <v>373</v>
      </c>
      <c r="P9" s="51" t="s">
        <v>374</v>
      </c>
      <c r="Q9" s="70" t="s">
        <v>85</v>
      </c>
      <c r="R9" s="69">
        <v>4.9000000000000004</v>
      </c>
      <c r="S9" s="69" t="s">
        <v>382</v>
      </c>
      <c r="T9" s="174"/>
    </row>
    <row r="10" spans="1:20" ht="186.6" customHeight="1" thickTop="1">
      <c r="A10" s="121" t="s">
        <v>383</v>
      </c>
      <c r="B10" s="52" t="s">
        <v>384</v>
      </c>
      <c r="C10" s="52" t="s">
        <v>385</v>
      </c>
      <c r="D10" s="52" t="s">
        <v>368</v>
      </c>
      <c r="E10" s="72">
        <v>2018</v>
      </c>
      <c r="F10" s="52" t="s">
        <v>64</v>
      </c>
      <c r="G10" s="52" t="s">
        <v>37</v>
      </c>
      <c r="H10" s="52" t="s">
        <v>190</v>
      </c>
      <c r="I10" s="72"/>
      <c r="J10" s="72">
        <v>1759</v>
      </c>
      <c r="K10" s="72">
        <v>16.7</v>
      </c>
      <c r="L10" s="73" t="s">
        <v>386</v>
      </c>
      <c r="M10" s="180">
        <v>0.504</v>
      </c>
      <c r="N10" s="52" t="s">
        <v>376</v>
      </c>
      <c r="O10" s="52" t="s">
        <v>387</v>
      </c>
      <c r="P10" s="52"/>
      <c r="Q10" s="72" t="s">
        <v>388</v>
      </c>
      <c r="R10" s="72">
        <v>21</v>
      </c>
      <c r="S10" s="72" t="s">
        <v>389</v>
      </c>
      <c r="T10" s="151" t="s">
        <v>196</v>
      </c>
    </row>
    <row r="11" spans="1:20" ht="57.75" thickBot="1">
      <c r="A11" s="122"/>
      <c r="B11" s="53"/>
      <c r="C11" s="53" t="s">
        <v>53</v>
      </c>
      <c r="D11" s="53"/>
      <c r="E11" s="74"/>
      <c r="F11" s="53"/>
      <c r="G11" s="53"/>
      <c r="H11" s="53"/>
      <c r="I11" s="74"/>
      <c r="J11" s="74"/>
      <c r="K11" s="74"/>
      <c r="L11" s="75"/>
      <c r="M11" s="74"/>
      <c r="N11" s="76" t="s">
        <v>378</v>
      </c>
      <c r="O11" s="53" t="s">
        <v>387</v>
      </c>
      <c r="P11" s="53"/>
      <c r="Q11" s="74" t="s">
        <v>388</v>
      </c>
      <c r="R11" s="74">
        <v>15.2</v>
      </c>
      <c r="S11" s="74" t="s">
        <v>389</v>
      </c>
      <c r="T11" s="174"/>
    </row>
    <row r="12" spans="1:20" ht="148.9" customHeight="1" thickTop="1">
      <c r="A12" s="123" t="s">
        <v>390</v>
      </c>
      <c r="B12" s="47" t="s">
        <v>391</v>
      </c>
      <c r="C12" s="47" t="s">
        <v>385</v>
      </c>
      <c r="D12" s="47" t="s">
        <v>368</v>
      </c>
      <c r="E12" s="77">
        <v>2009</v>
      </c>
      <c r="F12" s="47" t="s">
        <v>114</v>
      </c>
      <c r="G12" s="47" t="s">
        <v>156</v>
      </c>
      <c r="H12" s="47" t="s">
        <v>370</v>
      </c>
      <c r="I12" s="77"/>
      <c r="J12" s="77">
        <v>142</v>
      </c>
      <c r="K12" s="77">
        <v>16.18</v>
      </c>
      <c r="L12" s="78" t="s">
        <v>392</v>
      </c>
      <c r="M12" s="181">
        <v>0.60599999999999998</v>
      </c>
      <c r="N12" s="79" t="s">
        <v>372</v>
      </c>
      <c r="O12" s="47" t="s">
        <v>393</v>
      </c>
      <c r="P12" s="47" t="s">
        <v>394</v>
      </c>
      <c r="Q12" s="77" t="s">
        <v>194</v>
      </c>
      <c r="R12" s="77">
        <v>12</v>
      </c>
      <c r="S12" s="77" t="s">
        <v>395</v>
      </c>
      <c r="T12" s="151" t="s">
        <v>196</v>
      </c>
    </row>
    <row r="13" spans="1:20" ht="42.95">
      <c r="A13" s="124"/>
      <c r="B13" s="125"/>
      <c r="C13" s="125"/>
      <c r="D13" s="125"/>
      <c r="E13" s="126"/>
      <c r="F13" s="125"/>
      <c r="G13" s="125"/>
      <c r="H13" s="125"/>
      <c r="I13" s="126"/>
      <c r="J13" s="126"/>
      <c r="K13" s="126"/>
      <c r="L13" s="127"/>
      <c r="M13" s="126"/>
      <c r="N13" s="128" t="s">
        <v>376</v>
      </c>
      <c r="O13" s="125" t="s">
        <v>393</v>
      </c>
      <c r="P13" s="128" t="s">
        <v>53</v>
      </c>
      <c r="Q13" s="126" t="s">
        <v>194</v>
      </c>
      <c r="R13" s="126">
        <v>7.7</v>
      </c>
      <c r="S13" s="126" t="s">
        <v>396</v>
      </c>
      <c r="T13" s="173"/>
    </row>
    <row r="14" spans="1:20" ht="42.95">
      <c r="A14" s="124"/>
      <c r="B14" s="125"/>
      <c r="C14" s="125"/>
      <c r="D14" s="125"/>
      <c r="E14" s="126"/>
      <c r="F14" s="125"/>
      <c r="G14" s="125"/>
      <c r="H14" s="125"/>
      <c r="I14" s="126"/>
      <c r="J14" s="126"/>
      <c r="K14" s="126"/>
      <c r="L14" s="127"/>
      <c r="M14" s="126"/>
      <c r="N14" s="128" t="s">
        <v>378</v>
      </c>
      <c r="O14" s="125" t="s">
        <v>393</v>
      </c>
      <c r="P14" s="128" t="s">
        <v>53</v>
      </c>
      <c r="Q14" s="126" t="s">
        <v>194</v>
      </c>
      <c r="R14" s="126">
        <v>4.2</v>
      </c>
      <c r="S14" s="126" t="s">
        <v>397</v>
      </c>
      <c r="T14" s="173"/>
    </row>
    <row r="15" spans="1:20" ht="42.95">
      <c r="A15" s="124"/>
      <c r="B15" s="125"/>
      <c r="C15" s="125"/>
      <c r="D15" s="125"/>
      <c r="E15" s="126"/>
      <c r="F15" s="125"/>
      <c r="G15" s="125"/>
      <c r="H15" s="125"/>
      <c r="I15" s="126"/>
      <c r="J15" s="126"/>
      <c r="K15" s="126"/>
      <c r="L15" s="127"/>
      <c r="M15" s="126"/>
      <c r="N15" s="128" t="s">
        <v>376</v>
      </c>
      <c r="O15" s="125" t="s">
        <v>393</v>
      </c>
      <c r="P15" s="128"/>
      <c r="Q15" s="127" t="s">
        <v>398</v>
      </c>
      <c r="R15" s="185">
        <v>18.3</v>
      </c>
      <c r="S15" s="127" t="s">
        <v>399</v>
      </c>
      <c r="T15" s="173"/>
    </row>
    <row r="16" spans="1:20" ht="43.35" thickBot="1">
      <c r="A16" s="129"/>
      <c r="B16" s="48"/>
      <c r="C16" s="48"/>
      <c r="D16" s="48"/>
      <c r="E16" s="80"/>
      <c r="F16" s="48"/>
      <c r="G16" s="48"/>
      <c r="H16" s="48"/>
      <c r="I16" s="80"/>
      <c r="J16" s="80"/>
      <c r="K16" s="80"/>
      <c r="L16" s="81"/>
      <c r="M16" s="80"/>
      <c r="N16" s="60" t="s">
        <v>378</v>
      </c>
      <c r="O16" s="48" t="s">
        <v>393</v>
      </c>
      <c r="P16" s="60"/>
      <c r="Q16" s="81" t="s">
        <v>400</v>
      </c>
      <c r="R16" s="80">
        <v>14.8</v>
      </c>
      <c r="S16" s="80" t="s">
        <v>401</v>
      </c>
      <c r="T16" s="174"/>
    </row>
    <row r="17" spans="1:22" ht="243" customHeight="1" thickTop="1" thickBot="1">
      <c r="A17" s="113" t="s">
        <v>202</v>
      </c>
      <c r="B17" s="42" t="s">
        <v>203</v>
      </c>
      <c r="C17" s="42" t="s">
        <v>34</v>
      </c>
      <c r="D17" s="42" t="s">
        <v>368</v>
      </c>
      <c r="E17" s="64">
        <v>2021</v>
      </c>
      <c r="F17" s="42" t="s">
        <v>64</v>
      </c>
      <c r="G17" s="42" t="s">
        <v>156</v>
      </c>
      <c r="H17" s="42" t="s">
        <v>370</v>
      </c>
      <c r="I17" s="64">
        <v>2010</v>
      </c>
      <c r="J17" s="64">
        <v>355</v>
      </c>
      <c r="K17" s="64">
        <v>18.600000000000001</v>
      </c>
      <c r="L17" s="65" t="s">
        <v>402</v>
      </c>
      <c r="M17" s="64"/>
      <c r="N17" s="82" t="s">
        <v>372</v>
      </c>
      <c r="O17" s="42" t="s">
        <v>403</v>
      </c>
      <c r="P17" s="42" t="s">
        <v>404</v>
      </c>
      <c r="Q17" s="64" t="s">
        <v>405</v>
      </c>
      <c r="R17" s="64">
        <v>2.4</v>
      </c>
      <c r="S17" s="64" t="s">
        <v>406</v>
      </c>
      <c r="T17" s="172" t="s">
        <v>196</v>
      </c>
    </row>
    <row r="18" spans="1:22" ht="127.9" customHeight="1" thickTop="1" thickBot="1">
      <c r="A18" s="130" t="s">
        <v>407</v>
      </c>
      <c r="B18" s="57" t="s">
        <v>408</v>
      </c>
      <c r="C18" s="42" t="s">
        <v>385</v>
      </c>
      <c r="D18" s="42" t="s">
        <v>368</v>
      </c>
      <c r="E18" s="64">
        <v>2019</v>
      </c>
      <c r="F18" s="42" t="s">
        <v>64</v>
      </c>
      <c r="G18" s="42" t="s">
        <v>37</v>
      </c>
      <c r="H18" s="42" t="s">
        <v>52</v>
      </c>
      <c r="I18" s="64">
        <v>2018</v>
      </c>
      <c r="J18" s="64">
        <v>623</v>
      </c>
      <c r="K18" s="64">
        <v>17.8</v>
      </c>
      <c r="L18" s="64" t="s">
        <v>409</v>
      </c>
      <c r="M18" s="182">
        <v>0.73839999999999995</v>
      </c>
      <c r="N18" s="82" t="s">
        <v>410</v>
      </c>
      <c r="O18" s="57" t="s">
        <v>411</v>
      </c>
      <c r="P18" s="57" t="s">
        <v>412</v>
      </c>
      <c r="Q18" s="64" t="s">
        <v>170</v>
      </c>
      <c r="R18" s="64">
        <v>56.2</v>
      </c>
      <c r="S18" s="64" t="s">
        <v>413</v>
      </c>
      <c r="T18" s="172" t="s">
        <v>196</v>
      </c>
    </row>
    <row r="19" spans="1:22" ht="232.15" customHeight="1" thickTop="1">
      <c r="A19" s="131" t="s">
        <v>414</v>
      </c>
      <c r="B19" s="49" t="s">
        <v>415</v>
      </c>
      <c r="C19" s="49" t="s">
        <v>367</v>
      </c>
      <c r="D19" s="49" t="s">
        <v>368</v>
      </c>
      <c r="E19" s="83">
        <v>2022</v>
      </c>
      <c r="F19" s="49" t="s">
        <v>51</v>
      </c>
      <c r="G19" s="49" t="s">
        <v>125</v>
      </c>
      <c r="H19" s="49" t="s">
        <v>52</v>
      </c>
      <c r="I19" s="83">
        <v>2004</v>
      </c>
      <c r="J19" s="83">
        <v>1209</v>
      </c>
      <c r="K19" s="83">
        <v>14</v>
      </c>
      <c r="L19" s="84" t="s">
        <v>416</v>
      </c>
      <c r="M19" s="183">
        <v>0.55100000000000005</v>
      </c>
      <c r="N19" s="85" t="s">
        <v>372</v>
      </c>
      <c r="O19" s="49" t="s">
        <v>417</v>
      </c>
      <c r="P19" s="49" t="s">
        <v>418</v>
      </c>
      <c r="Q19" s="83" t="s">
        <v>119</v>
      </c>
      <c r="R19" s="186">
        <v>7.8</v>
      </c>
      <c r="S19" s="84" t="s">
        <v>419</v>
      </c>
      <c r="T19" s="173" t="s">
        <v>196</v>
      </c>
    </row>
    <row r="20" spans="1:22" ht="208.15" customHeight="1" thickBot="1">
      <c r="A20" s="132"/>
      <c r="B20" s="133"/>
      <c r="C20" s="133"/>
      <c r="D20" s="133"/>
      <c r="E20" s="134"/>
      <c r="F20" s="133"/>
      <c r="G20" s="133"/>
      <c r="H20" s="133"/>
      <c r="I20" s="135">
        <v>2007</v>
      </c>
      <c r="J20" s="135">
        <v>1532</v>
      </c>
      <c r="K20" s="135">
        <v>17</v>
      </c>
      <c r="L20" s="135" t="s">
        <v>420</v>
      </c>
      <c r="M20" s="135">
        <v>53.1</v>
      </c>
      <c r="N20" s="167" t="s">
        <v>372</v>
      </c>
      <c r="O20" s="133" t="s">
        <v>421</v>
      </c>
      <c r="P20" s="133" t="s">
        <v>422</v>
      </c>
      <c r="Q20" s="136" t="s">
        <v>85</v>
      </c>
      <c r="R20" s="175">
        <v>15.1</v>
      </c>
      <c r="S20" s="175" t="s">
        <v>423</v>
      </c>
      <c r="T20" s="176"/>
    </row>
    <row r="21" spans="1:22" s="40" customFormat="1" ht="86.45" thickTop="1">
      <c r="A21" s="39" t="s">
        <v>424</v>
      </c>
      <c r="B21" s="39" t="s">
        <v>425</v>
      </c>
      <c r="C21" s="39" t="s">
        <v>63</v>
      </c>
      <c r="D21" s="39" t="s">
        <v>35</v>
      </c>
      <c r="E21" s="39">
        <v>2000</v>
      </c>
      <c r="F21" s="39" t="s">
        <v>426</v>
      </c>
      <c r="G21" s="39" t="s">
        <v>37</v>
      </c>
      <c r="H21" s="39" t="s">
        <v>38</v>
      </c>
      <c r="I21" s="39"/>
      <c r="J21" s="39">
        <v>366</v>
      </c>
      <c r="K21" s="39">
        <v>19.3</v>
      </c>
      <c r="L21" s="39" t="s">
        <v>427</v>
      </c>
      <c r="M21" s="169">
        <v>0.59</v>
      </c>
      <c r="N21" s="39" t="s">
        <v>428</v>
      </c>
      <c r="O21" s="39"/>
      <c r="P21" s="39" t="s">
        <v>429</v>
      </c>
      <c r="Q21" s="39" t="s">
        <v>170</v>
      </c>
      <c r="R21" s="45">
        <v>28.9</v>
      </c>
      <c r="S21" s="39" t="s">
        <v>430</v>
      </c>
      <c r="T21" s="39" t="s">
        <v>196</v>
      </c>
      <c r="U21" s="45"/>
      <c r="V21" s="170"/>
    </row>
    <row r="22" spans="1:22" s="40" customFormat="1" ht="28.7">
      <c r="N22" s="40" t="s">
        <v>431</v>
      </c>
      <c r="P22" s="40" t="s">
        <v>432</v>
      </c>
      <c r="Q22" s="40" t="s">
        <v>170</v>
      </c>
      <c r="R22" s="45">
        <v>19.399999999999999</v>
      </c>
      <c r="S22" s="40" t="s">
        <v>433</v>
      </c>
      <c r="U22" s="45"/>
      <c r="V22" s="168"/>
    </row>
    <row r="23" spans="1:22" s="40" customFormat="1" ht="29.1" thickBot="1">
      <c r="N23" s="40" t="s">
        <v>434</v>
      </c>
      <c r="P23" s="40" t="s">
        <v>435</v>
      </c>
      <c r="Q23" s="40" t="s">
        <v>170</v>
      </c>
      <c r="R23" s="45">
        <v>12.3</v>
      </c>
      <c r="S23" s="40" t="s">
        <v>436</v>
      </c>
      <c r="U23" s="45"/>
      <c r="V23" s="168"/>
    </row>
    <row r="24" spans="1:22" ht="137.65" customHeight="1" thickTop="1">
      <c r="A24" s="137" t="s">
        <v>437</v>
      </c>
      <c r="B24" s="54" t="s">
        <v>438</v>
      </c>
      <c r="C24" s="54" t="s">
        <v>439</v>
      </c>
      <c r="D24" s="54" t="s">
        <v>368</v>
      </c>
      <c r="E24" s="86">
        <v>2003</v>
      </c>
      <c r="F24" s="54" t="s">
        <v>360</v>
      </c>
      <c r="G24" s="54" t="s">
        <v>156</v>
      </c>
      <c r="H24" s="54" t="s">
        <v>370</v>
      </c>
      <c r="I24" s="86">
        <v>2002</v>
      </c>
      <c r="J24" s="87">
        <v>10699</v>
      </c>
      <c r="K24" s="86">
        <v>15.8</v>
      </c>
      <c r="L24" s="86" t="s">
        <v>440</v>
      </c>
      <c r="M24" s="88">
        <v>0.52</v>
      </c>
      <c r="N24" s="89" t="s">
        <v>372</v>
      </c>
      <c r="O24" s="54" t="s">
        <v>441</v>
      </c>
      <c r="P24" s="54" t="s">
        <v>442</v>
      </c>
      <c r="Q24" s="86" t="s">
        <v>119</v>
      </c>
      <c r="R24" s="90">
        <v>19</v>
      </c>
      <c r="S24" s="86" t="s">
        <v>443</v>
      </c>
      <c r="T24" s="173" t="s">
        <v>196</v>
      </c>
    </row>
    <row r="25" spans="1:22" ht="57.4">
      <c r="A25" s="138"/>
      <c r="B25" s="139"/>
      <c r="C25" s="139"/>
      <c r="D25" s="139"/>
      <c r="E25" s="140"/>
      <c r="F25" s="139"/>
      <c r="G25" s="139"/>
      <c r="H25" s="139"/>
      <c r="I25" s="140"/>
      <c r="J25" s="141"/>
      <c r="K25" s="140"/>
      <c r="L25" s="140"/>
      <c r="M25" s="142"/>
      <c r="N25" s="143" t="s">
        <v>376</v>
      </c>
      <c r="O25" s="139" t="s">
        <v>441</v>
      </c>
      <c r="P25" s="139" t="s">
        <v>444</v>
      </c>
      <c r="Q25" s="140" t="s">
        <v>119</v>
      </c>
      <c r="R25" s="144">
        <v>15.8</v>
      </c>
      <c r="S25" s="140" t="s">
        <v>445</v>
      </c>
      <c r="T25" s="173"/>
    </row>
    <row r="26" spans="1:22" ht="108.6" customHeight="1" thickBot="1">
      <c r="A26" s="145"/>
      <c r="B26" s="55"/>
      <c r="C26" s="55"/>
      <c r="D26" s="55"/>
      <c r="E26" s="91"/>
      <c r="F26" s="55"/>
      <c r="G26" s="55"/>
      <c r="H26" s="55"/>
      <c r="I26" s="91"/>
      <c r="J26" s="92"/>
      <c r="K26" s="91"/>
      <c r="L26" s="91"/>
      <c r="M26" s="93"/>
      <c r="N26" s="94" t="s">
        <v>378</v>
      </c>
      <c r="O26" s="55" t="s">
        <v>441</v>
      </c>
      <c r="P26" s="55" t="s">
        <v>446</v>
      </c>
      <c r="Q26" s="91" t="s">
        <v>119</v>
      </c>
      <c r="R26" s="95">
        <v>17.3</v>
      </c>
      <c r="S26" s="91" t="s">
        <v>447</v>
      </c>
      <c r="T26" s="174"/>
    </row>
    <row r="27" spans="1:22" ht="129" customHeight="1" thickTop="1">
      <c r="A27" s="146" t="s">
        <v>448</v>
      </c>
      <c r="B27" s="39" t="s">
        <v>449</v>
      </c>
      <c r="C27" s="39" t="s">
        <v>439</v>
      </c>
      <c r="D27" s="39" t="s">
        <v>368</v>
      </c>
      <c r="E27" s="96">
        <v>2009</v>
      </c>
      <c r="F27" s="39" t="s">
        <v>360</v>
      </c>
      <c r="G27" s="39" t="s">
        <v>156</v>
      </c>
      <c r="H27" s="39" t="s">
        <v>370</v>
      </c>
      <c r="I27" s="96">
        <v>2008</v>
      </c>
      <c r="J27" s="97">
        <v>10270</v>
      </c>
      <c r="K27" s="96">
        <v>15.6</v>
      </c>
      <c r="L27" s="96" t="s">
        <v>440</v>
      </c>
      <c r="M27" s="98">
        <v>0.54</v>
      </c>
      <c r="N27" s="99" t="s">
        <v>372</v>
      </c>
      <c r="O27" s="39" t="s">
        <v>441</v>
      </c>
      <c r="P27" s="39" t="s">
        <v>442</v>
      </c>
      <c r="Q27" s="96" t="s">
        <v>119</v>
      </c>
      <c r="R27" s="63">
        <v>20.7</v>
      </c>
      <c r="S27" s="96" t="s">
        <v>450</v>
      </c>
      <c r="T27" s="173" t="s">
        <v>196</v>
      </c>
    </row>
    <row r="28" spans="1:22" ht="57.4">
      <c r="A28" s="147"/>
      <c r="B28" s="40"/>
      <c r="C28" s="40"/>
      <c r="D28" s="40"/>
      <c r="E28" s="135"/>
      <c r="F28" s="40"/>
      <c r="G28" s="40"/>
      <c r="H28" s="40"/>
      <c r="I28" s="135"/>
      <c r="J28" s="148"/>
      <c r="K28" s="135"/>
      <c r="L28" s="135"/>
      <c r="M28" s="149"/>
      <c r="N28" s="150" t="s">
        <v>376</v>
      </c>
      <c r="O28" s="40" t="s">
        <v>441</v>
      </c>
      <c r="P28" s="40" t="s">
        <v>444</v>
      </c>
      <c r="Q28" s="135" t="s">
        <v>119</v>
      </c>
      <c r="R28" s="62">
        <v>16.8</v>
      </c>
      <c r="S28" s="135" t="s">
        <v>451</v>
      </c>
      <c r="T28" s="173"/>
    </row>
    <row r="29" spans="1:22" ht="57.75" thickBot="1">
      <c r="A29" s="152"/>
      <c r="B29" s="38"/>
      <c r="C29" s="38"/>
      <c r="D29" s="38"/>
      <c r="E29" s="100"/>
      <c r="F29" s="38"/>
      <c r="G29" s="38"/>
      <c r="H29" s="38"/>
      <c r="I29" s="100"/>
      <c r="J29" s="101"/>
      <c r="K29" s="100"/>
      <c r="L29" s="100"/>
      <c r="M29" s="102"/>
      <c r="N29" s="103" t="s">
        <v>378</v>
      </c>
      <c r="O29" s="38" t="s">
        <v>441</v>
      </c>
      <c r="P29" s="38" t="s">
        <v>446</v>
      </c>
      <c r="Q29" s="100" t="s">
        <v>119</v>
      </c>
      <c r="R29" s="61">
        <v>21.4</v>
      </c>
      <c r="S29" s="100" t="s">
        <v>452</v>
      </c>
      <c r="T29" s="174"/>
    </row>
    <row r="30" spans="1:22" ht="165.6" customHeight="1" thickTop="1">
      <c r="A30" s="153" t="s">
        <v>453</v>
      </c>
      <c r="B30" s="56" t="s">
        <v>454</v>
      </c>
      <c r="C30" s="56" t="s">
        <v>439</v>
      </c>
      <c r="D30" s="56" t="s">
        <v>368</v>
      </c>
      <c r="E30" s="104">
        <v>2013</v>
      </c>
      <c r="F30" s="56" t="s">
        <v>360</v>
      </c>
      <c r="G30" s="56" t="s">
        <v>156</v>
      </c>
      <c r="H30" s="56" t="s">
        <v>370</v>
      </c>
      <c r="I30" s="104">
        <v>2011</v>
      </c>
      <c r="J30" s="104">
        <v>10000</v>
      </c>
      <c r="K30" s="104">
        <v>15.7</v>
      </c>
      <c r="L30" s="104" t="s">
        <v>440</v>
      </c>
      <c r="M30" s="105">
        <v>0.53</v>
      </c>
      <c r="N30" s="106" t="s">
        <v>372</v>
      </c>
      <c r="O30" s="56" t="s">
        <v>441</v>
      </c>
      <c r="P30" s="56" t="s">
        <v>442</v>
      </c>
      <c r="Q30" s="104" t="s">
        <v>119</v>
      </c>
      <c r="R30" s="107">
        <v>17.600000000000001</v>
      </c>
      <c r="S30" s="104" t="s">
        <v>455</v>
      </c>
      <c r="T30" s="173" t="s">
        <v>196</v>
      </c>
    </row>
    <row r="31" spans="1:22" ht="57.4">
      <c r="A31" s="154"/>
      <c r="B31" s="155"/>
      <c r="C31" s="155"/>
      <c r="D31" s="155"/>
      <c r="E31" s="156"/>
      <c r="F31" s="155"/>
      <c r="G31" s="155"/>
      <c r="H31" s="155"/>
      <c r="I31" s="156"/>
      <c r="J31" s="156"/>
      <c r="K31" s="156"/>
      <c r="L31" s="156"/>
      <c r="M31" s="157"/>
      <c r="N31" s="158" t="s">
        <v>376</v>
      </c>
      <c r="O31" s="155" t="s">
        <v>441</v>
      </c>
      <c r="P31" s="155" t="s">
        <v>444</v>
      </c>
      <c r="Q31" s="156" t="s">
        <v>119</v>
      </c>
      <c r="R31" s="159">
        <v>15.6</v>
      </c>
      <c r="S31" s="156" t="s">
        <v>456</v>
      </c>
      <c r="T31" s="173"/>
    </row>
    <row r="32" spans="1:22" ht="127.15" customHeight="1" thickBot="1">
      <c r="A32" s="160"/>
      <c r="B32" s="161"/>
      <c r="C32" s="161"/>
      <c r="D32" s="161"/>
      <c r="E32" s="162"/>
      <c r="F32" s="161"/>
      <c r="G32" s="161"/>
      <c r="H32" s="161"/>
      <c r="I32" s="162"/>
      <c r="J32" s="162"/>
      <c r="K32" s="162" t="s">
        <v>53</v>
      </c>
      <c r="L32" s="162"/>
      <c r="M32" s="163"/>
      <c r="N32" s="164" t="s">
        <v>378</v>
      </c>
      <c r="O32" s="161" t="s">
        <v>441</v>
      </c>
      <c r="P32" s="161" t="s">
        <v>446</v>
      </c>
      <c r="Q32" s="162" t="s">
        <v>119</v>
      </c>
      <c r="R32" s="165">
        <v>17.8</v>
      </c>
      <c r="S32" s="162" t="s">
        <v>457</v>
      </c>
      <c r="T32" s="174"/>
    </row>
    <row r="34" spans="1:1">
      <c r="A34" t="s">
        <v>53</v>
      </c>
    </row>
    <row r="35" spans="1:1">
      <c r="A35" t="s">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9B780-29C0-4D5F-A5FD-3E49300901D0}">
  <dimension ref="A1:V32"/>
  <sheetViews>
    <sheetView topLeftCell="A21" zoomScale="130" zoomScaleNormal="130" workbookViewId="0">
      <selection activeCell="B4" sqref="B4"/>
    </sheetView>
  </sheetViews>
  <sheetFormatPr defaultRowHeight="14.45"/>
  <cols>
    <col min="1" max="1" width="34.140625" customWidth="1"/>
    <col min="2" max="2" width="37.85546875" customWidth="1"/>
    <col min="3" max="14" width="8.85546875" customWidth="1"/>
  </cols>
  <sheetData>
    <row r="1" spans="1:22">
      <c r="A1" s="6" t="s">
        <v>458</v>
      </c>
    </row>
    <row r="2" spans="1:22">
      <c r="A2" s="10"/>
      <c r="B2" s="10"/>
      <c r="C2" s="376" t="s">
        <v>459</v>
      </c>
      <c r="D2" s="376"/>
      <c r="E2" s="376"/>
      <c r="F2" s="376"/>
      <c r="G2" s="376" t="s">
        <v>460</v>
      </c>
      <c r="H2" s="376"/>
      <c r="I2" s="376"/>
      <c r="J2" s="376"/>
      <c r="K2" s="376" t="s">
        <v>461</v>
      </c>
      <c r="L2" s="376"/>
      <c r="M2" s="376"/>
      <c r="N2" s="376"/>
      <c r="O2" s="376" t="s">
        <v>462</v>
      </c>
      <c r="P2" s="376"/>
      <c r="Q2" s="376"/>
      <c r="R2" s="377"/>
      <c r="S2" s="37"/>
    </row>
    <row r="3" spans="1:22">
      <c r="B3" s="11"/>
      <c r="C3" s="12" t="s">
        <v>463</v>
      </c>
      <c r="D3" s="9" t="s">
        <v>464</v>
      </c>
      <c r="E3" s="9" t="s">
        <v>465</v>
      </c>
      <c r="F3" s="13" t="s">
        <v>466</v>
      </c>
      <c r="G3" s="14" t="s">
        <v>463</v>
      </c>
      <c r="H3" s="9" t="s">
        <v>464</v>
      </c>
      <c r="I3" s="9" t="s">
        <v>465</v>
      </c>
      <c r="J3" s="15" t="s">
        <v>466</v>
      </c>
      <c r="K3" s="16" t="s">
        <v>463</v>
      </c>
      <c r="L3" s="9" t="s">
        <v>464</v>
      </c>
      <c r="M3" s="9" t="s">
        <v>465</v>
      </c>
      <c r="N3" s="238" t="s">
        <v>466</v>
      </c>
      <c r="O3" s="16" t="s">
        <v>463</v>
      </c>
      <c r="P3" s="8" t="s">
        <v>464</v>
      </c>
      <c r="Q3" s="9" t="s">
        <v>465</v>
      </c>
      <c r="R3" s="238" t="s">
        <v>466</v>
      </c>
      <c r="S3" s="37"/>
    </row>
    <row r="4" spans="1:22">
      <c r="B4" s="11"/>
      <c r="C4" s="12"/>
      <c r="D4" s="9"/>
      <c r="E4" s="9"/>
      <c r="F4" s="18"/>
      <c r="G4" s="19"/>
      <c r="H4" s="9"/>
      <c r="I4" s="9"/>
      <c r="J4" s="20"/>
      <c r="K4" s="12"/>
      <c r="L4" s="9"/>
      <c r="M4" s="9"/>
      <c r="N4" s="238"/>
      <c r="O4" s="12"/>
      <c r="P4" s="9"/>
      <c r="Q4" s="9"/>
      <c r="R4" s="238"/>
      <c r="S4" s="37"/>
      <c r="T4" s="193"/>
      <c r="U4" s="193"/>
      <c r="V4" s="193"/>
    </row>
    <row r="5" spans="1:22">
      <c r="A5" t="s">
        <v>467</v>
      </c>
      <c r="B5" s="11" t="s">
        <v>468</v>
      </c>
      <c r="C5" s="237">
        <v>1.0434000000000001</v>
      </c>
      <c r="D5" s="237">
        <v>-0.50349999999999995</v>
      </c>
      <c r="E5" s="237">
        <v>2.5903</v>
      </c>
      <c r="F5" s="18">
        <v>0.1862</v>
      </c>
      <c r="G5" s="9"/>
      <c r="H5" s="9"/>
      <c r="I5" s="9"/>
      <c r="J5" s="20"/>
      <c r="K5" s="237">
        <v>1.8499999999999999E-2</v>
      </c>
      <c r="L5" s="237">
        <v>-1.5384</v>
      </c>
      <c r="M5" s="237">
        <v>1.5752999999999999</v>
      </c>
      <c r="N5" s="238">
        <v>0.98150000000000004</v>
      </c>
      <c r="O5" s="242">
        <v>1.3958999999999999</v>
      </c>
      <c r="P5" s="243">
        <v>0.52129999999999999</v>
      </c>
      <c r="Q5" s="243">
        <v>2.2706</v>
      </c>
      <c r="R5" s="240">
        <v>1.8E-3</v>
      </c>
      <c r="S5" s="37"/>
      <c r="T5" s="193"/>
      <c r="U5" s="193"/>
      <c r="V5" s="193"/>
    </row>
    <row r="6" spans="1:22">
      <c r="B6" s="11"/>
      <c r="C6" s="21"/>
      <c r="D6" s="22"/>
      <c r="E6" s="22"/>
      <c r="F6" s="18"/>
      <c r="G6" s="23"/>
      <c r="H6" s="22"/>
      <c r="I6" s="22"/>
      <c r="J6" s="236"/>
      <c r="K6" s="21"/>
      <c r="L6" s="22"/>
      <c r="M6" s="22"/>
      <c r="N6" s="238"/>
      <c r="O6" s="244"/>
      <c r="P6" s="245"/>
      <c r="Q6" s="245"/>
      <c r="R6" s="238"/>
      <c r="S6" s="37"/>
      <c r="T6" s="193"/>
      <c r="U6" s="193"/>
      <c r="V6" s="193"/>
    </row>
    <row r="7" spans="1:22">
      <c r="A7" t="s">
        <v>469</v>
      </c>
      <c r="B7" s="11" t="s">
        <v>470</v>
      </c>
      <c r="C7" s="237">
        <v>-1.7044999999999999</v>
      </c>
      <c r="D7" s="237">
        <v>-3.5446</v>
      </c>
      <c r="E7" s="237">
        <v>0.13569999999999999</v>
      </c>
      <c r="F7" s="190">
        <v>6.9500000000000006E-2</v>
      </c>
      <c r="G7" s="237">
        <v>-3.4424000000000001</v>
      </c>
      <c r="H7" s="237">
        <v>-5.5244999999999997</v>
      </c>
      <c r="I7" s="237">
        <v>-1.3603000000000001</v>
      </c>
      <c r="J7" s="236">
        <v>1.1999999999999999E-3</v>
      </c>
      <c r="K7" s="237">
        <v>-0.66849999999999998</v>
      </c>
      <c r="L7" s="237">
        <v>-2.2187000000000001</v>
      </c>
      <c r="M7" s="237">
        <v>0.88160000000000005</v>
      </c>
      <c r="N7" s="238">
        <v>0.39789999999999998</v>
      </c>
      <c r="O7" s="244"/>
      <c r="P7" s="245"/>
      <c r="Q7" s="245"/>
      <c r="R7" s="238"/>
      <c r="S7" s="37"/>
      <c r="T7" s="193"/>
      <c r="U7" s="193"/>
      <c r="V7" s="193"/>
    </row>
    <row r="8" spans="1:22">
      <c r="B8" s="11" t="s">
        <v>471</v>
      </c>
      <c r="C8" s="237">
        <v>0.59250000000000003</v>
      </c>
      <c r="D8" s="237">
        <v>-2.6547000000000001</v>
      </c>
      <c r="E8" s="237">
        <v>3.8395999999999999</v>
      </c>
      <c r="F8" s="190">
        <v>0.72060000000000002</v>
      </c>
      <c r="G8" s="22"/>
      <c r="H8" s="22"/>
      <c r="I8" s="22"/>
      <c r="J8" s="20"/>
      <c r="K8" s="237">
        <v>1.2495000000000001</v>
      </c>
      <c r="L8" s="237">
        <v>-1.0442</v>
      </c>
      <c r="M8" s="237">
        <v>3.5432000000000001</v>
      </c>
      <c r="N8" s="238">
        <v>0.28570000000000001</v>
      </c>
      <c r="O8" s="244">
        <v>-0.56259999999999999</v>
      </c>
      <c r="P8" s="245">
        <v>-2.4733000000000001</v>
      </c>
      <c r="Q8" s="245">
        <v>1.3482000000000001</v>
      </c>
      <c r="R8" s="238">
        <v>0.56389999999999996</v>
      </c>
      <c r="S8" s="37"/>
      <c r="T8" s="193"/>
      <c r="U8" s="193"/>
      <c r="V8" s="193"/>
    </row>
    <row r="9" spans="1:22">
      <c r="B9" s="11"/>
      <c r="C9" s="21"/>
      <c r="D9" s="22"/>
      <c r="E9" s="22"/>
      <c r="F9" s="18"/>
      <c r="G9" s="23"/>
      <c r="H9" s="22"/>
      <c r="I9" s="22"/>
      <c r="J9" s="20"/>
      <c r="K9" s="21"/>
      <c r="L9" s="22"/>
      <c r="M9" s="22"/>
      <c r="N9" s="238"/>
      <c r="O9" s="244"/>
      <c r="P9" s="245"/>
      <c r="Q9" s="245"/>
      <c r="R9" s="238"/>
      <c r="S9" s="37"/>
      <c r="T9" s="193"/>
      <c r="U9" s="193"/>
      <c r="V9" s="193"/>
    </row>
    <row r="10" spans="1:22">
      <c r="A10" t="s">
        <v>472</v>
      </c>
      <c r="B10" s="11" t="s">
        <v>473</v>
      </c>
      <c r="C10" s="237">
        <v>0.10249999999999999</v>
      </c>
      <c r="D10" s="237">
        <v>1.1000000000000001E-3</v>
      </c>
      <c r="E10" s="237">
        <v>0.2039</v>
      </c>
      <c r="F10" s="18">
        <v>4.7699999999999999E-2</v>
      </c>
      <c r="G10" s="237">
        <v>1.5599999999999999E-2</v>
      </c>
      <c r="H10" s="237">
        <v>-0.1205</v>
      </c>
      <c r="I10" s="237">
        <v>0.15160000000000001</v>
      </c>
      <c r="J10" s="20">
        <v>0.8226</v>
      </c>
      <c r="K10" s="237">
        <v>1.66E-2</v>
      </c>
      <c r="L10" s="237">
        <v>-7.4099999999999999E-2</v>
      </c>
      <c r="M10" s="237">
        <v>0.1072</v>
      </c>
      <c r="N10" s="238">
        <v>0.72030000000000005</v>
      </c>
      <c r="O10" s="241">
        <v>8.7400000000000005E-2</v>
      </c>
      <c r="P10" s="245">
        <v>-1.0200000000000001E-2</v>
      </c>
      <c r="Q10" s="245">
        <v>0.185</v>
      </c>
      <c r="R10" s="238">
        <v>7.9200000000000007E-2</v>
      </c>
      <c r="S10" s="37"/>
      <c r="T10" s="193"/>
      <c r="U10" s="193"/>
      <c r="V10" s="193"/>
    </row>
    <row r="11" spans="1:22">
      <c r="B11" s="11"/>
      <c r="C11" s="21"/>
      <c r="D11" s="22"/>
      <c r="E11" s="22"/>
      <c r="F11" s="18"/>
      <c r="G11" s="28"/>
      <c r="H11" s="29"/>
      <c r="I11" s="29"/>
      <c r="J11" s="30"/>
      <c r="K11" s="21"/>
      <c r="L11" s="22"/>
      <c r="M11" s="22"/>
      <c r="N11" s="238"/>
      <c r="O11" s="244"/>
      <c r="P11" s="245"/>
      <c r="Q11" s="245"/>
      <c r="R11" s="238"/>
      <c r="S11" s="37"/>
      <c r="T11" s="193"/>
      <c r="U11" s="193"/>
      <c r="V11" s="193"/>
    </row>
    <row r="12" spans="1:22">
      <c r="A12" t="s">
        <v>474</v>
      </c>
      <c r="B12" s="11" t="s">
        <v>97</v>
      </c>
      <c r="C12" s="237">
        <v>2.0709</v>
      </c>
      <c r="D12" s="237">
        <v>-2.9335</v>
      </c>
      <c r="E12" s="237">
        <v>7.0753000000000004</v>
      </c>
      <c r="F12" s="18">
        <v>0.4173</v>
      </c>
      <c r="G12" s="237">
        <v>1.1969000000000001</v>
      </c>
      <c r="H12" s="237">
        <v>-1.5063</v>
      </c>
      <c r="I12" s="237">
        <v>3.9</v>
      </c>
      <c r="J12" s="20">
        <v>0.38550000000000001</v>
      </c>
      <c r="K12" s="237">
        <v>-1.0179</v>
      </c>
      <c r="L12" s="237">
        <v>-3.4344000000000001</v>
      </c>
      <c r="M12" s="237">
        <v>1.3986000000000001</v>
      </c>
      <c r="N12" s="239">
        <v>0.40910000000000002</v>
      </c>
      <c r="O12" s="241">
        <v>-2.1192000000000002</v>
      </c>
      <c r="P12" s="241">
        <v>-4.4020999999999999</v>
      </c>
      <c r="Q12" s="241">
        <v>0.16370000000000001</v>
      </c>
      <c r="R12" s="238">
        <v>6.8900000000000003E-2</v>
      </c>
      <c r="S12" s="37"/>
      <c r="T12" s="193"/>
      <c r="U12" s="193"/>
      <c r="V12" s="193"/>
    </row>
    <row r="13" spans="1:22">
      <c r="B13" s="11" t="s">
        <v>64</v>
      </c>
      <c r="C13" s="237">
        <v>1.3636999999999999</v>
      </c>
      <c r="D13" s="237">
        <v>-3.1251000000000002</v>
      </c>
      <c r="E13" s="237">
        <v>5.8525</v>
      </c>
      <c r="F13" s="18">
        <v>0.55159999999999998</v>
      </c>
      <c r="G13" s="237">
        <v>-0.29859999999999998</v>
      </c>
      <c r="H13" s="237">
        <v>-3.4083000000000001</v>
      </c>
      <c r="I13" s="237">
        <v>2.8109999999999999</v>
      </c>
      <c r="J13" s="20">
        <v>0.85070000000000001</v>
      </c>
      <c r="K13" s="237">
        <v>-0.51600000000000001</v>
      </c>
      <c r="L13" s="237">
        <v>-3.22</v>
      </c>
      <c r="M13" s="237">
        <v>2.1880000000000002</v>
      </c>
      <c r="N13" s="239">
        <v>0.70840000000000003</v>
      </c>
      <c r="O13" s="241">
        <v>-0.68700000000000006</v>
      </c>
      <c r="P13" s="241">
        <v>-2.6871</v>
      </c>
      <c r="Q13" s="241">
        <v>1.3130999999999999</v>
      </c>
      <c r="R13" s="238">
        <v>0.50080000000000002</v>
      </c>
      <c r="S13" s="37"/>
      <c r="T13" s="193"/>
      <c r="U13" s="193"/>
      <c r="V13" s="193"/>
    </row>
    <row r="14" spans="1:22">
      <c r="B14" s="11" t="s">
        <v>74</v>
      </c>
      <c r="C14" s="237">
        <v>-7.1749000000000001</v>
      </c>
      <c r="D14" s="237">
        <v>-24.914300000000001</v>
      </c>
      <c r="E14" s="237">
        <v>10.564399999999999</v>
      </c>
      <c r="F14" s="18">
        <v>0.4279</v>
      </c>
      <c r="G14" s="23"/>
      <c r="H14" s="22"/>
      <c r="I14" s="22"/>
      <c r="J14" s="20"/>
      <c r="K14" s="21"/>
      <c r="L14" s="22"/>
      <c r="M14" s="22"/>
      <c r="N14" s="239">
        <v>0.70840000000000003</v>
      </c>
      <c r="O14" s="244"/>
      <c r="P14" s="245"/>
      <c r="Q14" s="245"/>
      <c r="R14" s="238"/>
      <c r="S14" s="37"/>
      <c r="T14" s="193"/>
      <c r="U14" s="193"/>
      <c r="V14" s="193"/>
    </row>
    <row r="15" spans="1:22">
      <c r="B15" s="11" t="s">
        <v>220</v>
      </c>
      <c r="C15" s="237">
        <v>0.65529999999999999</v>
      </c>
      <c r="D15" s="237">
        <v>-5.1456</v>
      </c>
      <c r="E15" s="237">
        <v>6.4562999999999997</v>
      </c>
      <c r="F15" s="18">
        <v>0.82479999999999998</v>
      </c>
      <c r="G15" s="23"/>
      <c r="H15" s="22"/>
      <c r="I15" s="22"/>
      <c r="J15" s="20"/>
      <c r="K15" s="21"/>
      <c r="L15" s="22"/>
      <c r="M15" s="22"/>
      <c r="N15" s="238"/>
      <c r="O15" s="244"/>
      <c r="P15" s="245"/>
      <c r="Q15" s="245"/>
      <c r="R15" s="238"/>
      <c r="S15" s="37"/>
      <c r="T15" s="193"/>
      <c r="U15" s="193"/>
      <c r="V15" s="193"/>
    </row>
    <row r="16" spans="1:22">
      <c r="B16" s="11" t="s">
        <v>114</v>
      </c>
      <c r="C16" s="237">
        <v>0.36859999999999998</v>
      </c>
      <c r="D16" s="237">
        <v>-5.4507000000000003</v>
      </c>
      <c r="E16" s="237">
        <v>6.1878000000000002</v>
      </c>
      <c r="F16" s="18">
        <v>0.9012</v>
      </c>
      <c r="G16" s="23"/>
      <c r="H16" s="22"/>
      <c r="I16" s="22"/>
      <c r="J16" s="20"/>
      <c r="K16" s="21"/>
      <c r="L16" s="22"/>
      <c r="M16" s="22"/>
      <c r="N16" s="238"/>
      <c r="O16" s="244"/>
      <c r="P16" s="245"/>
      <c r="Q16" s="245"/>
      <c r="R16" s="238"/>
      <c r="S16" s="37"/>
      <c r="T16" s="193"/>
      <c r="U16" s="193"/>
      <c r="V16" s="193"/>
    </row>
    <row r="17" spans="1:22">
      <c r="B17" s="11" t="s">
        <v>51</v>
      </c>
      <c r="C17" s="237">
        <v>2.0198</v>
      </c>
      <c r="D17" s="237">
        <v>-1.655</v>
      </c>
      <c r="E17" s="237">
        <v>5.6946000000000003</v>
      </c>
      <c r="F17" s="18">
        <v>0.28139999999999998</v>
      </c>
      <c r="G17" s="23"/>
      <c r="H17" s="22"/>
      <c r="I17" s="22"/>
      <c r="J17" s="20"/>
      <c r="K17" s="21"/>
      <c r="L17" s="22"/>
      <c r="M17" s="22"/>
      <c r="N17" s="238"/>
      <c r="O17" s="244"/>
      <c r="P17" s="245"/>
      <c r="Q17" s="245"/>
      <c r="R17" s="238"/>
      <c r="S17" s="37"/>
      <c r="T17" s="193"/>
      <c r="U17" s="193"/>
      <c r="V17" s="193"/>
    </row>
    <row r="18" spans="1:22">
      <c r="B18" s="11"/>
      <c r="C18" s="21"/>
      <c r="D18" s="22"/>
      <c r="E18" s="22"/>
      <c r="F18" s="18"/>
      <c r="G18" s="23"/>
      <c r="H18" s="22"/>
      <c r="I18" s="22"/>
      <c r="J18" s="20"/>
      <c r="K18" s="21"/>
      <c r="L18" s="22"/>
      <c r="M18" s="22"/>
      <c r="N18" s="238"/>
      <c r="O18" s="244"/>
      <c r="P18" s="245"/>
      <c r="Q18" s="245"/>
      <c r="R18" s="238"/>
      <c r="S18" s="37"/>
      <c r="T18" s="193"/>
      <c r="U18" s="193"/>
      <c r="V18" s="193"/>
    </row>
    <row r="19" spans="1:22">
      <c r="A19" t="s">
        <v>14</v>
      </c>
      <c r="B19" s="11" t="s">
        <v>475</v>
      </c>
      <c r="C19" s="237">
        <v>1.8883000000000001</v>
      </c>
      <c r="D19" s="237">
        <v>-1.2169000000000001</v>
      </c>
      <c r="E19" s="237">
        <v>4.9935</v>
      </c>
      <c r="F19" s="18">
        <v>0.23330000000000001</v>
      </c>
      <c r="G19" s="23"/>
      <c r="H19" s="22"/>
      <c r="I19" s="22"/>
      <c r="J19" s="20"/>
      <c r="K19" s="21"/>
      <c r="L19" s="22"/>
      <c r="M19" s="22"/>
      <c r="N19" s="238"/>
      <c r="O19" s="244"/>
      <c r="P19" s="245"/>
      <c r="Q19" s="245"/>
      <c r="R19" s="238"/>
      <c r="S19" s="37"/>
      <c r="T19" s="193"/>
      <c r="U19" s="193"/>
      <c r="V19" s="193"/>
    </row>
    <row r="20" spans="1:22">
      <c r="B20" s="11"/>
      <c r="C20" s="21"/>
      <c r="D20" s="22"/>
      <c r="E20" s="22"/>
      <c r="F20" s="18"/>
      <c r="G20" s="23"/>
      <c r="H20" s="22"/>
      <c r="I20" s="22"/>
      <c r="J20" s="20"/>
      <c r="K20" s="21"/>
      <c r="L20" s="22"/>
      <c r="M20" s="22"/>
      <c r="N20" s="238"/>
      <c r="O20" s="244"/>
      <c r="P20" s="245"/>
      <c r="Q20" s="245"/>
      <c r="R20" s="238"/>
      <c r="S20" s="37"/>
      <c r="T20" s="193"/>
      <c r="U20" s="193"/>
      <c r="V20" s="193"/>
    </row>
    <row r="21" spans="1:22">
      <c r="A21" t="s">
        <v>476</v>
      </c>
      <c r="B21" s="11" t="s">
        <v>477</v>
      </c>
      <c r="C21" s="237">
        <v>-0.2112</v>
      </c>
      <c r="D21" s="237">
        <v>-1.8536999999999999</v>
      </c>
      <c r="E21" s="237">
        <v>1.4313</v>
      </c>
      <c r="F21" s="18">
        <v>0.80100000000000005</v>
      </c>
      <c r="G21" s="237">
        <v>-0.75349999999999995</v>
      </c>
      <c r="H21" s="237">
        <v>-2.5007999999999999</v>
      </c>
      <c r="I21" s="237">
        <v>0.99380000000000002</v>
      </c>
      <c r="J21" s="20">
        <v>0.39800000000000002</v>
      </c>
      <c r="K21" s="237">
        <v>0.90410000000000001</v>
      </c>
      <c r="L21" s="237">
        <v>-0.54100000000000004</v>
      </c>
      <c r="M21" s="237">
        <v>2.3492000000000002</v>
      </c>
      <c r="N21" s="238">
        <v>0.22009999999999999</v>
      </c>
      <c r="O21" s="241">
        <v>-0.63249999999999995</v>
      </c>
      <c r="P21" s="241">
        <v>-2.5327999999999999</v>
      </c>
      <c r="Q21" s="241">
        <v>1.2678</v>
      </c>
      <c r="R21" s="238">
        <v>0.51419999999999999</v>
      </c>
      <c r="S21" s="37"/>
      <c r="T21" s="193"/>
      <c r="U21" s="193"/>
      <c r="V21" s="193"/>
    </row>
    <row r="22" spans="1:22">
      <c r="B22" s="11"/>
      <c r="C22" s="21"/>
      <c r="D22" s="22"/>
      <c r="E22" s="22"/>
      <c r="F22" s="18"/>
      <c r="G22" s="23"/>
      <c r="H22" s="22"/>
      <c r="I22" s="22"/>
      <c r="J22" s="20"/>
      <c r="K22" s="21"/>
      <c r="L22" s="22"/>
      <c r="M22" s="22"/>
      <c r="N22" s="238"/>
      <c r="O22" s="244"/>
      <c r="P22" s="245"/>
      <c r="Q22" s="245"/>
      <c r="R22" s="238"/>
      <c r="S22" s="37"/>
      <c r="T22" s="193"/>
      <c r="U22" s="193"/>
      <c r="V22" s="193"/>
    </row>
    <row r="23" spans="1:22">
      <c r="A23" t="s">
        <v>478</v>
      </c>
      <c r="B23" s="11" t="s">
        <v>479</v>
      </c>
      <c r="C23" s="237">
        <v>3.6400000000000002E-2</v>
      </c>
      <c r="D23" s="237">
        <v>-0.36670000000000003</v>
      </c>
      <c r="E23" s="237">
        <v>0.4395</v>
      </c>
      <c r="F23" s="18">
        <v>0.85950000000000004</v>
      </c>
      <c r="G23" s="237">
        <v>0.77380000000000004</v>
      </c>
      <c r="H23" s="237">
        <v>-0.34539999999999998</v>
      </c>
      <c r="I23" s="237">
        <v>1.8929</v>
      </c>
      <c r="J23" s="20">
        <v>0.1754</v>
      </c>
      <c r="K23" s="24">
        <v>0.31540000000000001</v>
      </c>
      <c r="L23" s="25">
        <v>0.26440000000000002</v>
      </c>
      <c r="M23" s="25">
        <v>0.3664</v>
      </c>
      <c r="N23" s="240">
        <v>0</v>
      </c>
      <c r="O23" s="244"/>
      <c r="P23" s="245"/>
      <c r="Q23" s="245"/>
      <c r="R23" s="238"/>
      <c r="S23" s="37"/>
      <c r="T23" s="193"/>
      <c r="U23" s="193"/>
      <c r="V23" s="193"/>
    </row>
    <row r="24" spans="1:22">
      <c r="B24" s="11"/>
      <c r="C24" s="21"/>
      <c r="D24" s="22"/>
      <c r="E24" s="22"/>
      <c r="F24" s="18"/>
      <c r="G24" s="23"/>
      <c r="H24" s="22"/>
      <c r="I24" s="22"/>
      <c r="J24" s="20"/>
      <c r="K24" s="21"/>
      <c r="L24" s="22"/>
      <c r="M24" s="22"/>
      <c r="N24" s="238"/>
      <c r="O24" s="244"/>
      <c r="P24" s="245"/>
      <c r="Q24" s="245"/>
      <c r="R24" s="238"/>
      <c r="S24" s="37"/>
    </row>
    <row r="25" spans="1:22">
      <c r="A25" t="s">
        <v>480</v>
      </c>
      <c r="B25" s="11" t="s">
        <v>481</v>
      </c>
      <c r="C25" s="237">
        <v>-3.0257999999999998</v>
      </c>
      <c r="D25" s="237">
        <v>-8.6410999999999998</v>
      </c>
      <c r="E25" s="237">
        <v>2.5895000000000001</v>
      </c>
      <c r="F25" s="18">
        <v>0.29089999999999999</v>
      </c>
      <c r="G25" s="237">
        <v>-2.9394</v>
      </c>
      <c r="H25" s="237">
        <v>-13.831300000000001</v>
      </c>
      <c r="I25" s="237">
        <v>7.9524999999999997</v>
      </c>
      <c r="J25" s="20">
        <v>0.5968</v>
      </c>
      <c r="K25" s="237">
        <v>1.0226</v>
      </c>
      <c r="L25" s="237">
        <v>-1.9957</v>
      </c>
      <c r="M25" s="237">
        <v>4.0407999999999999</v>
      </c>
      <c r="N25" s="238">
        <v>0.50670000000000004</v>
      </c>
      <c r="O25" s="241">
        <v>5.4733000000000001</v>
      </c>
      <c r="P25" s="241">
        <v>-7.6211000000000002</v>
      </c>
      <c r="Q25" s="241">
        <v>18.567699999999999</v>
      </c>
      <c r="R25" s="238">
        <v>0.41260000000000002</v>
      </c>
      <c r="S25" s="37"/>
    </row>
    <row r="26" spans="1:22">
      <c r="B26" s="11"/>
      <c r="C26" s="21"/>
      <c r="D26" s="22"/>
      <c r="E26" s="22"/>
      <c r="F26" s="18"/>
      <c r="G26" s="23"/>
      <c r="H26" s="22"/>
      <c r="I26" s="22"/>
      <c r="J26" s="20"/>
      <c r="K26" s="22"/>
      <c r="L26" s="22"/>
      <c r="M26" s="22"/>
      <c r="N26" s="9"/>
      <c r="O26" s="244"/>
      <c r="P26" s="245"/>
      <c r="Q26" s="245"/>
      <c r="R26" s="238"/>
      <c r="S26" s="37"/>
    </row>
    <row r="27" spans="1:22">
      <c r="A27" t="s">
        <v>482</v>
      </c>
      <c r="B27" s="11" t="s">
        <v>483</v>
      </c>
      <c r="C27" s="237">
        <v>-0.18579999999999999</v>
      </c>
      <c r="D27" s="237">
        <v>-2.0448</v>
      </c>
      <c r="E27" s="237">
        <v>1.6732</v>
      </c>
      <c r="F27" s="18">
        <v>0.84470000000000001</v>
      </c>
      <c r="G27" s="191">
        <v>-1.8506</v>
      </c>
      <c r="H27" s="25">
        <v>-3.1671</v>
      </c>
      <c r="I27" s="25">
        <v>-0.53410000000000002</v>
      </c>
      <c r="J27" s="192">
        <v>5.8999999999999999E-3</v>
      </c>
      <c r="K27" s="237">
        <v>0.35570000000000002</v>
      </c>
      <c r="L27" s="237">
        <v>-1.4215</v>
      </c>
      <c r="M27" s="237">
        <v>2.133</v>
      </c>
      <c r="N27" s="238">
        <v>0.69479999999999997</v>
      </c>
      <c r="O27" s="241">
        <v>1.5685</v>
      </c>
      <c r="P27" s="241">
        <v>-2.5700000000000001E-2</v>
      </c>
      <c r="Q27" s="241">
        <v>3.1627000000000001</v>
      </c>
      <c r="R27" s="238">
        <v>5.3800000000000001E-2</v>
      </c>
      <c r="S27" s="37"/>
    </row>
    <row r="28" spans="1:22">
      <c r="B28" s="11"/>
      <c r="C28" s="21"/>
      <c r="D28" s="22"/>
      <c r="E28" s="22"/>
      <c r="F28" s="18"/>
      <c r="G28" s="23"/>
      <c r="H28" s="22"/>
      <c r="I28" s="22"/>
      <c r="J28" s="20"/>
      <c r="K28" s="21"/>
      <c r="L28" s="22"/>
      <c r="M28" s="22"/>
      <c r="N28" s="238"/>
      <c r="O28" s="245"/>
      <c r="P28" s="245"/>
      <c r="Q28" s="245"/>
      <c r="R28" s="9"/>
      <c r="S28" s="37"/>
    </row>
    <row r="29" spans="1:22">
      <c r="A29" t="s">
        <v>484</v>
      </c>
      <c r="B29" s="11" t="s">
        <v>44</v>
      </c>
      <c r="C29" s="237">
        <v>-1.6133999999999999</v>
      </c>
      <c r="D29" s="237">
        <v>-4.6067999999999998</v>
      </c>
      <c r="E29" s="237">
        <v>1.3801000000000001</v>
      </c>
      <c r="F29" s="18">
        <v>0.2908</v>
      </c>
      <c r="G29" s="237">
        <v>0.58120000000000005</v>
      </c>
      <c r="H29" s="22">
        <v>-1.5396000000000001</v>
      </c>
      <c r="I29" s="22">
        <v>2.7019000000000002</v>
      </c>
      <c r="J29" s="20">
        <v>0.59119999999999995</v>
      </c>
      <c r="K29" s="24">
        <v>2.0005000000000002</v>
      </c>
      <c r="L29" s="25">
        <v>0.81330000000000002</v>
      </c>
      <c r="M29" s="25">
        <v>3.1878000000000002</v>
      </c>
      <c r="N29" s="240">
        <v>1E-3</v>
      </c>
      <c r="O29" s="242"/>
      <c r="P29" s="243"/>
      <c r="Q29" s="243"/>
      <c r="R29" s="240"/>
      <c r="S29" s="37"/>
    </row>
    <row r="30" spans="1:22">
      <c r="B30" s="11" t="s">
        <v>102</v>
      </c>
      <c r="C30" s="237">
        <v>-0.7984</v>
      </c>
      <c r="D30" s="237">
        <v>-3.8371</v>
      </c>
      <c r="E30" s="237">
        <v>2.2402000000000002</v>
      </c>
      <c r="F30" s="18">
        <v>0.60650000000000004</v>
      </c>
      <c r="G30" s="23"/>
      <c r="H30" s="22"/>
      <c r="I30" s="22"/>
      <c r="J30" s="20"/>
      <c r="K30" s="21">
        <v>0.3972</v>
      </c>
      <c r="L30" s="22">
        <v>-0.70030000000000003</v>
      </c>
      <c r="M30" s="22">
        <v>1.4946999999999999</v>
      </c>
      <c r="N30" s="238">
        <v>0.47810000000000002</v>
      </c>
      <c r="O30" s="242"/>
      <c r="P30" s="243"/>
      <c r="Q30" s="243"/>
      <c r="R30" s="240"/>
      <c r="S30" s="37"/>
    </row>
    <row r="31" spans="1:22">
      <c r="B31" s="11" t="s">
        <v>93</v>
      </c>
      <c r="C31" s="237">
        <v>-3.0855000000000001</v>
      </c>
      <c r="D31" s="237">
        <v>-6.3040000000000003</v>
      </c>
      <c r="E31" s="237">
        <v>0.1331</v>
      </c>
      <c r="F31" s="18">
        <v>6.0299999999999999E-2</v>
      </c>
      <c r="G31" s="23"/>
      <c r="H31" s="22"/>
      <c r="I31" s="22"/>
      <c r="J31" s="20"/>
      <c r="K31" s="9"/>
      <c r="L31" s="9"/>
      <c r="M31" s="9"/>
      <c r="N31" s="9"/>
      <c r="O31" s="242">
        <v>-1.3958999999999999</v>
      </c>
      <c r="P31" s="243">
        <v>-2.2706</v>
      </c>
      <c r="Q31" s="243">
        <v>-0.52129999999999999</v>
      </c>
      <c r="R31" s="240">
        <v>1.8E-3</v>
      </c>
      <c r="S31" s="37"/>
    </row>
    <row r="32" spans="1:22">
      <c r="A32" s="7"/>
      <c r="B32" s="7"/>
      <c r="C32" s="7"/>
      <c r="D32" s="7"/>
      <c r="E32" s="7"/>
      <c r="F32" s="7"/>
      <c r="G32" s="7"/>
      <c r="H32" s="7"/>
      <c r="I32" s="7"/>
      <c r="J32" s="7"/>
      <c r="K32" s="7"/>
      <c r="L32" s="7"/>
      <c r="M32" s="7"/>
      <c r="N32" s="7"/>
      <c r="O32" s="7"/>
      <c r="P32" s="7"/>
      <c r="Q32" s="7"/>
      <c r="R32" s="7"/>
    </row>
  </sheetData>
  <mergeCells count="4">
    <mergeCell ref="C2:F2"/>
    <mergeCell ref="G2:J2"/>
    <mergeCell ref="K2:N2"/>
    <mergeCell ref="O2:R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5FD5-850A-4FF7-BE3F-4FEC527B745B}">
  <dimension ref="A1:S32"/>
  <sheetViews>
    <sheetView zoomScale="130" zoomScaleNormal="130" workbookViewId="0"/>
  </sheetViews>
  <sheetFormatPr defaultRowHeight="14.45"/>
  <cols>
    <col min="1" max="1" width="18.42578125" customWidth="1"/>
    <col min="2" max="2" width="36" customWidth="1"/>
    <col min="3" max="14" width="8.85546875" customWidth="1"/>
  </cols>
  <sheetData>
    <row r="1" spans="1:19" s="46" customFormat="1" ht="14.65" thickBot="1">
      <c r="A1" s="194" t="s">
        <v>485</v>
      </c>
    </row>
    <row r="2" spans="1:19" ht="15" thickTop="1" thickBot="1">
      <c r="A2" s="10"/>
      <c r="B2" s="10"/>
      <c r="C2" s="376" t="s">
        <v>459</v>
      </c>
      <c r="D2" s="376"/>
      <c r="E2" s="376"/>
      <c r="F2" s="376"/>
      <c r="G2" s="376" t="s">
        <v>460</v>
      </c>
      <c r="H2" s="376"/>
      <c r="I2" s="376"/>
      <c r="J2" s="376"/>
      <c r="K2" s="376" t="s">
        <v>461</v>
      </c>
      <c r="L2" s="376"/>
      <c r="M2" s="376"/>
      <c r="N2" s="376"/>
      <c r="O2" s="376" t="s">
        <v>462</v>
      </c>
      <c r="P2" s="376"/>
      <c r="Q2" s="376"/>
      <c r="R2" s="377"/>
      <c r="S2" s="37"/>
    </row>
    <row r="3" spans="1:19" ht="14.65" thickTop="1">
      <c r="B3" s="11"/>
      <c r="C3" s="12" t="s">
        <v>463</v>
      </c>
      <c r="D3" s="9" t="s">
        <v>464</v>
      </c>
      <c r="E3" s="9" t="s">
        <v>465</v>
      </c>
      <c r="F3" s="13" t="s">
        <v>466</v>
      </c>
      <c r="G3" s="14" t="s">
        <v>463</v>
      </c>
      <c r="H3" s="9" t="s">
        <v>464</v>
      </c>
      <c r="I3" s="9" t="s">
        <v>465</v>
      </c>
      <c r="J3" s="15" t="s">
        <v>466</v>
      </c>
      <c r="K3" s="16" t="s">
        <v>463</v>
      </c>
      <c r="L3" s="9" t="s">
        <v>464</v>
      </c>
      <c r="M3" s="9" t="s">
        <v>465</v>
      </c>
      <c r="N3" s="17" t="s">
        <v>466</v>
      </c>
      <c r="O3" s="16" t="s">
        <v>463</v>
      </c>
      <c r="P3" s="8" t="s">
        <v>464</v>
      </c>
      <c r="Q3" s="9" t="s">
        <v>465</v>
      </c>
      <c r="R3" s="17" t="s">
        <v>466</v>
      </c>
      <c r="S3" s="37"/>
    </row>
    <row r="4" spans="1:19">
      <c r="B4" s="11"/>
      <c r="C4" s="12"/>
      <c r="D4" s="9"/>
      <c r="E4" s="9"/>
      <c r="F4" s="18"/>
      <c r="G4" s="19"/>
      <c r="H4" s="9"/>
      <c r="I4" s="9"/>
      <c r="J4" s="20"/>
      <c r="K4" s="12"/>
      <c r="L4" s="9"/>
      <c r="M4" s="9"/>
      <c r="N4" s="17"/>
      <c r="O4" s="12"/>
      <c r="P4" s="9"/>
      <c r="Q4" s="9"/>
      <c r="R4" s="17"/>
      <c r="S4" s="37"/>
    </row>
    <row r="5" spans="1:19">
      <c r="A5" t="s">
        <v>467</v>
      </c>
      <c r="B5" s="11" t="s">
        <v>468</v>
      </c>
      <c r="C5" s="24">
        <v>1.6761999999999999</v>
      </c>
      <c r="D5" s="25">
        <v>0.51990000000000003</v>
      </c>
      <c r="E5" s="25">
        <v>2.8325</v>
      </c>
      <c r="F5" s="26">
        <v>4.4999999999999997E-3</v>
      </c>
      <c r="G5" s="23"/>
      <c r="H5" s="22"/>
      <c r="I5" s="22"/>
      <c r="J5" s="20"/>
      <c r="K5" s="21"/>
      <c r="L5" s="22"/>
      <c r="M5" s="22"/>
      <c r="N5" s="17"/>
      <c r="O5" s="24">
        <v>1.0894999999999999</v>
      </c>
      <c r="P5" s="25">
        <v>-0.79690000000000005</v>
      </c>
      <c r="Q5" s="25">
        <v>2.976</v>
      </c>
      <c r="R5" s="27">
        <v>0.2576</v>
      </c>
      <c r="S5" s="37"/>
    </row>
    <row r="6" spans="1:19">
      <c r="B6" s="11"/>
      <c r="G6" s="23"/>
      <c r="H6" s="22"/>
      <c r="I6" s="22"/>
      <c r="J6" s="20"/>
      <c r="K6" s="21"/>
      <c r="L6" s="22"/>
      <c r="M6" s="22"/>
      <c r="N6" s="20"/>
      <c r="O6" s="37"/>
      <c r="S6" s="37"/>
    </row>
    <row r="7" spans="1:19">
      <c r="A7" t="s">
        <v>469</v>
      </c>
      <c r="B7" s="11" t="s">
        <v>470</v>
      </c>
      <c r="C7" s="21"/>
      <c r="D7" s="22"/>
      <c r="E7" s="22"/>
      <c r="F7" s="18"/>
      <c r="G7" s="23">
        <v>-2.6724000000000001</v>
      </c>
      <c r="H7" s="22">
        <v>-5.0438999999999998</v>
      </c>
      <c r="I7" s="22">
        <v>-0.3009</v>
      </c>
      <c r="J7" s="20">
        <v>2.7199999999999998E-2</v>
      </c>
      <c r="K7" s="21"/>
      <c r="L7" s="22"/>
      <c r="M7" s="22"/>
      <c r="N7" s="17"/>
      <c r="O7" s="21"/>
      <c r="P7" s="22"/>
      <c r="Q7" s="22"/>
      <c r="R7" s="17"/>
      <c r="S7" s="37"/>
    </row>
    <row r="8" spans="1:19">
      <c r="B8" s="11" t="s">
        <v>471</v>
      </c>
      <c r="C8" s="21"/>
      <c r="D8" s="22"/>
      <c r="E8" s="22"/>
      <c r="F8" s="18"/>
      <c r="K8" s="21"/>
      <c r="L8" s="22"/>
      <c r="M8" s="22"/>
      <c r="N8" s="17"/>
      <c r="O8" s="21">
        <v>0.1361</v>
      </c>
      <c r="P8" s="22">
        <v>-2.0630000000000002</v>
      </c>
      <c r="Q8" s="22">
        <v>2.3351000000000002</v>
      </c>
      <c r="R8" s="17">
        <v>0.90349999999999997</v>
      </c>
      <c r="S8" s="37"/>
    </row>
    <row r="9" spans="1:19">
      <c r="B9" s="11"/>
      <c r="C9" s="21"/>
      <c r="D9" s="22"/>
      <c r="E9" s="22"/>
      <c r="F9" s="18"/>
      <c r="G9" s="23"/>
      <c r="H9" s="22"/>
      <c r="I9" s="22"/>
      <c r="J9" s="20"/>
      <c r="K9" s="21"/>
      <c r="L9" s="22"/>
      <c r="M9" s="22"/>
      <c r="N9" s="17"/>
      <c r="O9" s="21"/>
      <c r="P9" s="22"/>
      <c r="Q9" s="22"/>
      <c r="R9" s="17"/>
      <c r="S9" s="37"/>
    </row>
    <row r="10" spans="1:19">
      <c r="A10" t="s">
        <v>472</v>
      </c>
      <c r="B10" s="11" t="s">
        <v>473</v>
      </c>
      <c r="C10" s="21"/>
      <c r="D10" s="22"/>
      <c r="E10" s="22"/>
      <c r="F10" s="18"/>
      <c r="G10" s="23"/>
      <c r="H10" s="22"/>
      <c r="I10" s="22"/>
      <c r="J10" s="20"/>
      <c r="K10" s="21"/>
      <c r="L10" s="22"/>
      <c r="M10" s="22"/>
      <c r="N10" s="17"/>
      <c r="O10" s="31"/>
      <c r="P10" s="32"/>
      <c r="Q10" s="32"/>
      <c r="R10" s="33"/>
      <c r="S10" s="37"/>
    </row>
    <row r="11" spans="1:19">
      <c r="B11" s="11"/>
      <c r="C11" s="21"/>
      <c r="D11" s="22"/>
      <c r="E11" s="22"/>
      <c r="F11" s="18"/>
      <c r="G11" s="28"/>
      <c r="H11" s="29"/>
      <c r="I11" s="29"/>
      <c r="J11" s="30"/>
      <c r="K11" s="21"/>
      <c r="L11" s="22"/>
      <c r="M11" s="22"/>
      <c r="N11" s="17"/>
      <c r="O11" s="31"/>
      <c r="P11" s="32"/>
      <c r="Q11" s="32"/>
      <c r="R11" s="33"/>
      <c r="S11" s="37"/>
    </row>
    <row r="12" spans="1:19">
      <c r="A12" t="s">
        <v>474</v>
      </c>
      <c r="B12" s="11" t="s">
        <v>97</v>
      </c>
      <c r="C12" s="21"/>
      <c r="D12" s="22"/>
      <c r="E12" s="22"/>
      <c r="F12" s="18"/>
      <c r="G12" s="23"/>
      <c r="H12" s="22"/>
      <c r="I12" s="22"/>
      <c r="J12" s="20"/>
      <c r="K12" s="24"/>
      <c r="L12" s="25"/>
      <c r="M12" s="25"/>
      <c r="N12" s="27"/>
      <c r="O12" s="31">
        <v>-1.1180000000000001</v>
      </c>
      <c r="P12" s="32">
        <v>-3.9376000000000002</v>
      </c>
      <c r="Q12" s="32">
        <v>1.7016</v>
      </c>
      <c r="R12" s="33">
        <v>0.43709999999999999</v>
      </c>
      <c r="S12" s="37"/>
    </row>
    <row r="13" spans="1:19">
      <c r="B13" s="11" t="s">
        <v>64</v>
      </c>
      <c r="C13" s="21"/>
      <c r="D13" s="22"/>
      <c r="E13" s="22"/>
      <c r="F13" s="18"/>
      <c r="G13" s="23"/>
      <c r="H13" s="22"/>
      <c r="I13" s="22"/>
      <c r="J13" s="20"/>
      <c r="K13" s="24"/>
      <c r="L13" s="25"/>
      <c r="M13" s="25"/>
      <c r="N13" s="27"/>
      <c r="O13" s="21"/>
      <c r="P13" s="22"/>
      <c r="Q13" s="22"/>
      <c r="R13" s="17"/>
      <c r="S13" s="37"/>
    </row>
    <row r="14" spans="1:19">
      <c r="B14" s="11" t="s">
        <v>74</v>
      </c>
      <c r="C14" s="21"/>
      <c r="D14" s="22"/>
      <c r="E14" s="22"/>
      <c r="F14" s="18"/>
      <c r="G14" s="23"/>
      <c r="H14" s="22"/>
      <c r="I14" s="22"/>
      <c r="J14" s="20"/>
      <c r="K14" s="21"/>
      <c r="L14" s="22"/>
      <c r="M14" s="22"/>
      <c r="N14" s="17"/>
      <c r="O14" s="21"/>
      <c r="P14" s="22"/>
      <c r="Q14" s="22"/>
      <c r="R14" s="17"/>
      <c r="S14" s="37"/>
    </row>
    <row r="15" spans="1:19">
      <c r="B15" s="11" t="s">
        <v>220</v>
      </c>
      <c r="C15" s="21"/>
      <c r="D15" s="22"/>
      <c r="E15" s="22"/>
      <c r="F15" s="18"/>
      <c r="G15" s="23"/>
      <c r="H15" s="22"/>
      <c r="I15" s="22"/>
      <c r="J15" s="20"/>
      <c r="K15" s="21"/>
      <c r="L15" s="22"/>
      <c r="M15" s="22"/>
      <c r="N15" s="17"/>
      <c r="O15" s="21"/>
      <c r="P15" s="22"/>
      <c r="Q15" s="22"/>
      <c r="R15" s="17"/>
      <c r="S15" s="37"/>
    </row>
    <row r="16" spans="1:19">
      <c r="B16" s="11" t="s">
        <v>114</v>
      </c>
      <c r="C16" s="21"/>
      <c r="D16" s="22"/>
      <c r="E16" s="22"/>
      <c r="F16" s="18"/>
      <c r="G16" s="23"/>
      <c r="H16" s="22"/>
      <c r="I16" s="22"/>
      <c r="J16" s="20"/>
      <c r="K16" s="21"/>
      <c r="L16" s="22"/>
      <c r="M16" s="22"/>
      <c r="N16" s="17"/>
      <c r="O16" s="21"/>
      <c r="P16" s="22"/>
      <c r="Q16" s="22"/>
      <c r="R16" s="17"/>
      <c r="S16" s="37"/>
    </row>
    <row r="17" spans="1:19">
      <c r="B17" s="11" t="s">
        <v>51</v>
      </c>
      <c r="C17" s="21"/>
      <c r="D17" s="22"/>
      <c r="E17" s="22"/>
      <c r="F17" s="18"/>
      <c r="G17" s="23"/>
      <c r="H17" s="22"/>
      <c r="I17" s="22"/>
      <c r="J17" s="20"/>
      <c r="K17" s="21"/>
      <c r="L17" s="22"/>
      <c r="M17" s="22"/>
      <c r="N17" s="17"/>
      <c r="O17" s="21"/>
      <c r="P17" s="22"/>
      <c r="Q17" s="22"/>
      <c r="R17" s="17"/>
      <c r="S17" s="37"/>
    </row>
    <row r="18" spans="1:19">
      <c r="B18" s="11"/>
      <c r="C18" s="21"/>
      <c r="D18" s="22"/>
      <c r="E18" s="22"/>
      <c r="F18" s="18"/>
      <c r="G18" s="23"/>
      <c r="H18" s="22"/>
      <c r="I18" s="22"/>
      <c r="J18" s="20"/>
      <c r="K18" s="21"/>
      <c r="L18" s="22"/>
      <c r="M18" s="22"/>
      <c r="N18" s="17"/>
      <c r="O18" s="21"/>
      <c r="P18" s="22"/>
      <c r="Q18" s="22"/>
      <c r="R18" s="17"/>
      <c r="S18" s="37"/>
    </row>
    <row r="19" spans="1:19">
      <c r="A19" t="s">
        <v>14</v>
      </c>
      <c r="B19" s="11" t="s">
        <v>475</v>
      </c>
      <c r="C19" s="21">
        <v>1.2484</v>
      </c>
      <c r="D19" s="22">
        <v>-1.2487999999999999</v>
      </c>
      <c r="E19" s="22">
        <v>3.7456</v>
      </c>
      <c r="F19" s="18">
        <v>0.32719999999999999</v>
      </c>
      <c r="G19" s="23"/>
      <c r="H19" s="22"/>
      <c r="I19" s="22"/>
      <c r="J19" s="20"/>
      <c r="K19" s="21"/>
      <c r="L19" s="22"/>
      <c r="M19" s="22"/>
      <c r="N19" s="17"/>
      <c r="O19" s="21"/>
      <c r="P19" s="22"/>
      <c r="Q19" s="22"/>
      <c r="R19" s="17"/>
      <c r="S19" s="37"/>
    </row>
    <row r="20" spans="1:19">
      <c r="B20" s="11"/>
      <c r="C20" s="21"/>
      <c r="D20" s="22"/>
      <c r="E20" s="22"/>
      <c r="F20" s="18"/>
      <c r="G20" s="23"/>
      <c r="H20" s="22"/>
      <c r="I20" s="22"/>
      <c r="J20" s="20"/>
      <c r="K20" s="21"/>
      <c r="L20" s="22"/>
      <c r="M20" s="22"/>
      <c r="N20" s="17"/>
      <c r="O20" s="21"/>
      <c r="P20" s="22"/>
      <c r="Q20" s="22"/>
      <c r="R20" s="17"/>
      <c r="S20" s="37"/>
    </row>
    <row r="21" spans="1:19">
      <c r="A21" t="s">
        <v>476</v>
      </c>
      <c r="B21" s="11" t="s">
        <v>477</v>
      </c>
      <c r="C21" s="21">
        <v>-1.3623000000000001</v>
      </c>
      <c r="D21" s="22">
        <v>-2.7170999999999998</v>
      </c>
      <c r="E21" s="22">
        <v>-7.4999999999999997E-3</v>
      </c>
      <c r="F21" s="18">
        <v>4.87E-2</v>
      </c>
      <c r="G21" s="23">
        <v>0.2135</v>
      </c>
      <c r="H21" s="22">
        <v>-1.0213000000000001</v>
      </c>
      <c r="I21" s="22">
        <v>1.4483999999999999</v>
      </c>
      <c r="J21" s="20">
        <v>0.73470000000000002</v>
      </c>
      <c r="K21" s="21"/>
      <c r="L21" s="22"/>
      <c r="M21" s="22"/>
      <c r="N21" s="17"/>
      <c r="O21" s="21"/>
      <c r="P21" s="22"/>
      <c r="Q21" s="22"/>
      <c r="R21" s="17"/>
      <c r="S21" s="37"/>
    </row>
    <row r="22" spans="1:19">
      <c r="B22" s="11"/>
      <c r="G22" s="23"/>
      <c r="H22" s="22"/>
      <c r="I22" s="22"/>
      <c r="J22" s="20"/>
      <c r="K22" s="21"/>
      <c r="L22" s="22"/>
      <c r="M22" s="22"/>
      <c r="N22" s="17"/>
      <c r="O22" s="21"/>
      <c r="P22" s="22"/>
      <c r="Q22" s="22"/>
      <c r="R22" s="17"/>
      <c r="S22" s="37"/>
    </row>
    <row r="23" spans="1:19">
      <c r="A23" t="s">
        <v>478</v>
      </c>
      <c r="B23" s="11" t="s">
        <v>479</v>
      </c>
      <c r="C23" s="21"/>
      <c r="D23" s="22"/>
      <c r="E23" s="22"/>
      <c r="F23" s="18"/>
      <c r="G23" s="23"/>
      <c r="H23" s="22"/>
      <c r="I23" s="22"/>
      <c r="J23" s="20"/>
      <c r="K23" s="24">
        <v>0.31540000000000001</v>
      </c>
      <c r="L23" s="25">
        <v>0.26440000000000002</v>
      </c>
      <c r="M23" s="25">
        <v>0.3664</v>
      </c>
      <c r="N23" s="27">
        <v>0</v>
      </c>
      <c r="O23" s="21"/>
      <c r="P23" s="22"/>
      <c r="Q23" s="22"/>
      <c r="R23" s="17"/>
      <c r="S23" s="37"/>
    </row>
    <row r="24" spans="1:19">
      <c r="B24" s="11"/>
      <c r="C24" s="21"/>
      <c r="D24" s="22"/>
      <c r="E24" s="22"/>
      <c r="F24" s="18"/>
      <c r="G24" s="23"/>
      <c r="H24" s="22"/>
      <c r="I24" s="22"/>
      <c r="J24" s="20"/>
      <c r="K24" s="21"/>
      <c r="L24" s="22"/>
      <c r="M24" s="22"/>
      <c r="N24" s="17"/>
      <c r="O24" s="21"/>
      <c r="P24" s="22"/>
      <c r="Q24" s="22"/>
      <c r="R24" s="17"/>
      <c r="S24" s="37"/>
    </row>
    <row r="25" spans="1:19">
      <c r="A25" t="s">
        <v>480</v>
      </c>
      <c r="B25" s="11" t="s">
        <v>481</v>
      </c>
      <c r="C25" s="24">
        <v>-2.7631000000000001</v>
      </c>
      <c r="D25" s="25">
        <v>-6.7572999999999999</v>
      </c>
      <c r="E25" s="25">
        <v>1.2311000000000001</v>
      </c>
      <c r="F25" s="26">
        <v>0.17510000000000001</v>
      </c>
      <c r="G25" s="23"/>
      <c r="H25" s="22"/>
      <c r="I25" s="22"/>
      <c r="J25" s="20"/>
      <c r="K25" s="24"/>
      <c r="L25" s="25"/>
      <c r="M25" s="25"/>
      <c r="N25" s="27"/>
      <c r="O25" s="24"/>
      <c r="P25" s="25"/>
      <c r="Q25" s="25"/>
      <c r="R25" s="27"/>
      <c r="S25" s="37"/>
    </row>
    <row r="26" spans="1:19">
      <c r="B26" s="11"/>
      <c r="C26" s="21"/>
      <c r="D26" s="22"/>
      <c r="E26" s="22"/>
      <c r="F26" s="18"/>
      <c r="G26" s="23"/>
      <c r="H26" s="22"/>
      <c r="I26" s="22"/>
      <c r="J26" s="20"/>
      <c r="K26" s="21"/>
      <c r="L26" s="22"/>
      <c r="M26" s="22"/>
      <c r="N26" s="17"/>
      <c r="O26" s="24"/>
      <c r="P26" s="25"/>
      <c r="Q26" s="25"/>
      <c r="R26" s="27"/>
      <c r="S26" s="37"/>
    </row>
    <row r="27" spans="1:19">
      <c r="A27" t="s">
        <v>482</v>
      </c>
      <c r="B27" s="11" t="s">
        <v>483</v>
      </c>
      <c r="C27" s="21">
        <v>-1.2377</v>
      </c>
      <c r="D27" s="22">
        <v>-2.7925</v>
      </c>
      <c r="E27" s="22">
        <v>0.31709999999999999</v>
      </c>
      <c r="F27" s="18">
        <v>0.1187</v>
      </c>
      <c r="G27" s="23">
        <v>-1.3123</v>
      </c>
      <c r="H27" s="22">
        <v>-2.7610000000000001</v>
      </c>
      <c r="I27" s="22">
        <v>0.1363</v>
      </c>
      <c r="J27" s="20">
        <v>7.5800000000000006E-2</v>
      </c>
      <c r="K27" s="21"/>
      <c r="L27" s="22"/>
      <c r="M27" s="22"/>
      <c r="N27" s="17"/>
      <c r="O27" s="24"/>
      <c r="P27" s="25"/>
      <c r="Q27" s="25"/>
      <c r="R27" s="27"/>
      <c r="S27" s="37"/>
    </row>
    <row r="28" spans="1:19">
      <c r="B28" s="11"/>
      <c r="C28" s="21"/>
      <c r="D28" s="22"/>
      <c r="E28" s="22"/>
      <c r="F28" s="18"/>
      <c r="K28" s="21"/>
      <c r="L28" s="22"/>
      <c r="M28" s="22"/>
      <c r="N28" s="17"/>
      <c r="O28" s="24"/>
      <c r="P28" s="25"/>
      <c r="Q28" s="25"/>
      <c r="R28" s="27"/>
      <c r="S28" s="37"/>
    </row>
    <row r="29" spans="1:19">
      <c r="A29" t="s">
        <v>486</v>
      </c>
      <c r="B29" s="11" t="s">
        <v>44</v>
      </c>
      <c r="C29" s="21"/>
      <c r="D29" s="22"/>
      <c r="E29" s="22"/>
      <c r="F29" s="18"/>
      <c r="G29" s="23">
        <v>-0.31659999999999999</v>
      </c>
      <c r="H29" s="22">
        <v>-1.762</v>
      </c>
      <c r="I29" s="22">
        <v>1.1288</v>
      </c>
      <c r="J29" s="20">
        <v>0.66769999999999996</v>
      </c>
      <c r="K29" s="24"/>
      <c r="L29" s="25"/>
      <c r="M29" s="25"/>
      <c r="N29" s="27"/>
      <c r="O29" s="24"/>
      <c r="P29" s="25"/>
      <c r="Q29" s="25"/>
      <c r="R29" s="27"/>
      <c r="S29" s="37"/>
    </row>
    <row r="30" spans="1:19">
      <c r="B30" s="11" t="s">
        <v>102</v>
      </c>
      <c r="C30" s="9"/>
      <c r="D30" s="9"/>
      <c r="E30" s="9"/>
      <c r="F30" s="34"/>
      <c r="G30" s="23"/>
      <c r="H30" s="22"/>
      <c r="I30" s="22"/>
      <c r="J30" s="20"/>
      <c r="K30" s="21"/>
      <c r="L30" s="22"/>
      <c r="M30" s="22"/>
      <c r="N30" s="17"/>
      <c r="O30" s="24"/>
      <c r="P30" s="25"/>
      <c r="Q30" s="25"/>
      <c r="R30" s="27"/>
      <c r="S30" s="37"/>
    </row>
    <row r="31" spans="1:19" ht="14.65" thickBot="1">
      <c r="B31" s="11" t="s">
        <v>93</v>
      </c>
      <c r="C31" s="21"/>
      <c r="D31" s="22"/>
      <c r="E31" s="22"/>
      <c r="F31" s="18"/>
      <c r="G31" s="23"/>
      <c r="H31" s="22"/>
      <c r="I31" s="22"/>
      <c r="J31" s="20"/>
      <c r="K31" s="21"/>
      <c r="L31" s="22"/>
      <c r="M31" s="22"/>
      <c r="N31" s="17"/>
      <c r="O31" s="31"/>
      <c r="P31" s="32"/>
      <c r="Q31" s="32"/>
      <c r="R31" s="33"/>
      <c r="S31" s="37"/>
    </row>
    <row r="32" spans="1:19" ht="14.65" thickTop="1">
      <c r="A32" s="7"/>
      <c r="B32" s="7"/>
      <c r="C32" s="8"/>
      <c r="D32" s="8"/>
      <c r="E32" s="8"/>
      <c r="F32" s="35"/>
      <c r="G32" s="8"/>
      <c r="H32" s="8"/>
      <c r="I32" s="8"/>
      <c r="J32" s="36"/>
      <c r="K32" s="8"/>
      <c r="L32" s="8"/>
      <c r="M32" s="8"/>
      <c r="N32" s="36"/>
      <c r="O32" s="8"/>
      <c r="P32" s="8"/>
      <c r="Q32" s="8"/>
      <c r="R32" s="36"/>
    </row>
  </sheetData>
  <mergeCells count="4">
    <mergeCell ref="C2:F2"/>
    <mergeCell ref="G2:J2"/>
    <mergeCell ref="K2:N2"/>
    <mergeCell ref="O2:R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EAB4-3B0B-4930-8567-A2B57D643DC0}">
  <dimension ref="A1:N27"/>
  <sheetViews>
    <sheetView topLeftCell="A21" zoomScale="160" zoomScaleNormal="160" workbookViewId="0">
      <selection sqref="A1:H1"/>
    </sheetView>
  </sheetViews>
  <sheetFormatPr defaultRowHeight="14.45"/>
  <cols>
    <col min="1" max="1" width="32.28515625" bestFit="1" customWidth="1"/>
    <col min="2" max="2" width="20.140625" customWidth="1"/>
    <col min="3" max="14" width="8" customWidth="1"/>
  </cols>
  <sheetData>
    <row r="1" spans="1:14">
      <c r="A1" s="378" t="s">
        <v>487</v>
      </c>
      <c r="B1" s="378"/>
      <c r="C1" s="378"/>
      <c r="D1" s="378"/>
      <c r="E1" s="378"/>
      <c r="F1" s="378"/>
      <c r="G1" s="378"/>
      <c r="H1" s="378"/>
      <c r="I1" s="10"/>
    </row>
    <row r="2" spans="1:14">
      <c r="A2" s="10"/>
      <c r="B2" s="10"/>
      <c r="C2" s="379" t="s">
        <v>488</v>
      </c>
      <c r="D2" s="380"/>
      <c r="E2" s="380"/>
      <c r="F2" s="381"/>
      <c r="G2" s="376" t="s">
        <v>489</v>
      </c>
      <c r="H2" s="376"/>
      <c r="I2" s="376"/>
      <c r="J2" s="376"/>
      <c r="K2" s="382" t="s">
        <v>490</v>
      </c>
      <c r="L2" s="382"/>
      <c r="M2" s="382"/>
      <c r="N2" s="382"/>
    </row>
    <row r="3" spans="1:14">
      <c r="B3" s="11"/>
      <c r="C3" s="195" t="s">
        <v>463</v>
      </c>
      <c r="D3" s="196" t="s">
        <v>464</v>
      </c>
      <c r="E3" s="196" t="s">
        <v>465</v>
      </c>
      <c r="F3" s="197" t="s">
        <v>466</v>
      </c>
      <c r="G3" s="16" t="s">
        <v>463</v>
      </c>
      <c r="H3" s="9" t="s">
        <v>464</v>
      </c>
      <c r="I3" s="9" t="s">
        <v>465</v>
      </c>
      <c r="J3" s="36" t="s">
        <v>466</v>
      </c>
      <c r="K3" s="223" t="s">
        <v>463</v>
      </c>
      <c r="L3" s="224" t="s">
        <v>464</v>
      </c>
      <c r="M3" s="224" t="s">
        <v>465</v>
      </c>
      <c r="N3" s="225" t="s">
        <v>466</v>
      </c>
    </row>
    <row r="4" spans="1:14">
      <c r="A4" t="s">
        <v>467</v>
      </c>
      <c r="B4" s="11" t="s">
        <v>468</v>
      </c>
      <c r="C4" s="198">
        <v>-1.1009</v>
      </c>
      <c r="D4" s="199">
        <v>-1.7139</v>
      </c>
      <c r="E4" s="199">
        <v>-0.48780000000000001</v>
      </c>
      <c r="F4" s="220">
        <v>4.0000000000000002E-4</v>
      </c>
      <c r="G4" s="200">
        <v>-1.3381000000000001</v>
      </c>
      <c r="H4" s="201">
        <v>-1.6217999999999999</v>
      </c>
      <c r="I4" s="201">
        <v>-1.0544</v>
      </c>
      <c r="J4" s="234">
        <v>0</v>
      </c>
      <c r="K4" s="226">
        <v>-1.6641999999999999</v>
      </c>
      <c r="L4" s="201">
        <v>-2.1345999999999998</v>
      </c>
      <c r="M4" s="201">
        <v>-1.1938</v>
      </c>
      <c r="N4" s="227">
        <v>0</v>
      </c>
    </row>
    <row r="5" spans="1:14">
      <c r="B5" s="11"/>
      <c r="C5" s="198"/>
      <c r="D5" s="199"/>
      <c r="E5" s="199"/>
      <c r="F5" s="220"/>
      <c r="G5" s="202"/>
      <c r="H5" s="193"/>
      <c r="I5" s="193"/>
      <c r="J5" s="235"/>
      <c r="K5" s="228"/>
      <c r="L5" s="193"/>
      <c r="M5" s="193"/>
      <c r="N5" s="229"/>
    </row>
    <row r="6" spans="1:14">
      <c r="A6" t="s">
        <v>472</v>
      </c>
      <c r="B6" s="11" t="s">
        <v>473</v>
      </c>
      <c r="C6" s="198">
        <v>-7.0599999999999996E-2</v>
      </c>
      <c r="D6" s="199">
        <v>-0.11890000000000001</v>
      </c>
      <c r="E6" s="199">
        <v>-2.24E-2</v>
      </c>
      <c r="F6" s="220">
        <v>4.1000000000000003E-3</v>
      </c>
      <c r="G6" s="202">
        <v>-3.5999999999999997E-2</v>
      </c>
      <c r="H6" s="193">
        <v>-0.14380000000000001</v>
      </c>
      <c r="I6" s="193">
        <v>7.1800000000000003E-2</v>
      </c>
      <c r="J6" s="235">
        <v>0.51270000000000004</v>
      </c>
      <c r="K6" s="228">
        <v>-4.8099999999999997E-2</v>
      </c>
      <c r="L6" s="193">
        <v>-0.1474</v>
      </c>
      <c r="M6" s="193">
        <v>5.1200000000000002E-2</v>
      </c>
      <c r="N6" s="229">
        <v>0.3422</v>
      </c>
    </row>
    <row r="7" spans="1:14">
      <c r="B7" s="11"/>
      <c r="C7" s="198"/>
      <c r="D7" s="199"/>
      <c r="E7" s="199"/>
      <c r="F7" s="220"/>
      <c r="G7" s="202"/>
      <c r="H7" s="193"/>
      <c r="I7" s="193"/>
      <c r="J7" s="235"/>
      <c r="K7" s="228"/>
      <c r="L7" s="193"/>
      <c r="M7" s="193"/>
      <c r="N7" s="229"/>
    </row>
    <row r="8" spans="1:14">
      <c r="A8" t="s">
        <v>474</v>
      </c>
      <c r="B8" s="11" t="s">
        <v>97</v>
      </c>
      <c r="C8" s="198">
        <v>-1.6607000000000001</v>
      </c>
      <c r="D8" s="199">
        <v>-2.3052000000000001</v>
      </c>
      <c r="E8" s="199">
        <v>-1.0161</v>
      </c>
      <c r="F8" s="246">
        <v>0</v>
      </c>
      <c r="G8" s="200">
        <v>-1.1328</v>
      </c>
      <c r="H8" s="201">
        <v>-1.5072000000000001</v>
      </c>
      <c r="I8" s="201">
        <v>-0.75839999999999996</v>
      </c>
      <c r="J8" s="234">
        <v>0</v>
      </c>
      <c r="K8" s="228">
        <v>-1.3977999999999999</v>
      </c>
      <c r="L8" s="193">
        <v>-1.8957999999999999</v>
      </c>
      <c r="M8" s="193">
        <v>-0.89980000000000004</v>
      </c>
      <c r="N8" s="229">
        <v>0</v>
      </c>
    </row>
    <row r="9" spans="1:14">
      <c r="B9" s="11" t="s">
        <v>64</v>
      </c>
      <c r="C9" s="198">
        <v>-2.8052000000000001</v>
      </c>
      <c r="D9" s="199">
        <v>-3.7989999999999999</v>
      </c>
      <c r="E9" s="199">
        <v>-1.8112999999999999</v>
      </c>
      <c r="F9" s="247">
        <v>0</v>
      </c>
      <c r="G9" s="202">
        <v>0.49280000000000002</v>
      </c>
      <c r="H9" s="193">
        <v>0.1129</v>
      </c>
      <c r="I9" s="193">
        <v>0.87270000000000003</v>
      </c>
      <c r="J9" s="235">
        <v>1.0999999999999999E-2</v>
      </c>
      <c r="K9" s="228">
        <v>0.24529999999999999</v>
      </c>
      <c r="L9" s="193">
        <v>-0.29530000000000001</v>
      </c>
      <c r="M9" s="193">
        <v>0.78600000000000003</v>
      </c>
      <c r="N9" s="229">
        <v>0.37380000000000002</v>
      </c>
    </row>
    <row r="10" spans="1:14">
      <c r="B10" s="11" t="s">
        <v>220</v>
      </c>
      <c r="C10" s="198">
        <v>6.1938000000000004</v>
      </c>
      <c r="D10" s="199">
        <v>4.1616</v>
      </c>
      <c r="E10" s="199">
        <v>8.2258999999999993</v>
      </c>
      <c r="F10" s="247">
        <v>0</v>
      </c>
      <c r="G10" s="202">
        <v>0.80430000000000001</v>
      </c>
      <c r="H10" s="193">
        <v>0.40239999999999998</v>
      </c>
      <c r="I10" s="193">
        <v>1.2061999999999999</v>
      </c>
      <c r="J10" s="235">
        <v>1E-4</v>
      </c>
      <c r="K10" s="228">
        <v>1.8304</v>
      </c>
      <c r="L10" s="193">
        <v>0.75309999999999999</v>
      </c>
      <c r="M10" s="193">
        <v>2.9076</v>
      </c>
      <c r="N10" s="229">
        <v>8.9999999999999998E-4</v>
      </c>
    </row>
    <row r="11" spans="1:14">
      <c r="B11" s="11" t="s">
        <v>114</v>
      </c>
      <c r="C11" s="198">
        <v>-1.0922000000000001</v>
      </c>
      <c r="D11" s="199">
        <v>-1.9763999999999999</v>
      </c>
      <c r="E11" s="199">
        <v>-0.2079</v>
      </c>
      <c r="F11" s="247">
        <v>1.55E-2</v>
      </c>
      <c r="G11" s="202"/>
      <c r="H11" s="193"/>
      <c r="I11" s="193"/>
      <c r="J11" s="235"/>
      <c r="K11" s="228">
        <v>-0.17849999999999999</v>
      </c>
      <c r="L11" s="193">
        <v>-0.81359999999999999</v>
      </c>
      <c r="M11" s="193">
        <v>0.45660000000000001</v>
      </c>
      <c r="N11" s="229">
        <v>0.58169999999999999</v>
      </c>
    </row>
    <row r="12" spans="1:14">
      <c r="B12" s="11" t="s">
        <v>491</v>
      </c>
      <c r="C12" s="198">
        <v>-1.1811</v>
      </c>
      <c r="D12" s="199">
        <v>-1.8311999999999999</v>
      </c>
      <c r="E12" s="199">
        <v>-0.53090000000000004</v>
      </c>
      <c r="F12" s="247">
        <v>4.0000000000000002E-4</v>
      </c>
      <c r="G12" s="202"/>
      <c r="H12" s="193"/>
      <c r="I12" s="193"/>
      <c r="J12" s="235"/>
      <c r="K12" s="228"/>
      <c r="L12" s="193"/>
      <c r="M12" s="193"/>
      <c r="N12" s="229"/>
    </row>
    <row r="13" spans="1:14">
      <c r="B13" s="11"/>
      <c r="C13" s="203"/>
      <c r="D13" s="204"/>
      <c r="E13" s="204"/>
      <c r="F13" s="221"/>
      <c r="G13" s="202"/>
      <c r="H13" s="193"/>
      <c r="I13" s="193"/>
      <c r="J13" s="235"/>
      <c r="K13" s="228"/>
      <c r="L13" s="193"/>
      <c r="M13" s="193"/>
      <c r="N13" s="229"/>
    </row>
    <row r="14" spans="1:14">
      <c r="A14" t="s">
        <v>14</v>
      </c>
      <c r="B14" s="11" t="s">
        <v>475</v>
      </c>
      <c r="C14" s="205">
        <v>-0.56759999999999999</v>
      </c>
      <c r="D14" s="206">
        <v>-1.5</v>
      </c>
      <c r="E14" s="206">
        <v>0.36470000000000002</v>
      </c>
      <c r="F14" s="222">
        <v>0.23280000000000001</v>
      </c>
      <c r="G14" s="200">
        <v>-1.3381000000000001</v>
      </c>
      <c r="H14" s="201">
        <v>-1.6217999999999999</v>
      </c>
      <c r="I14" s="207">
        <v>-1.0544</v>
      </c>
      <c r="J14" s="234">
        <v>0</v>
      </c>
      <c r="K14" s="226">
        <v>-1.6641999999999999</v>
      </c>
      <c r="L14" s="201">
        <v>-2.1345999999999998</v>
      </c>
      <c r="M14" s="201">
        <v>-1.1938</v>
      </c>
      <c r="N14" s="227">
        <v>0</v>
      </c>
    </row>
    <row r="15" spans="1:14">
      <c r="B15" s="11"/>
      <c r="C15" s="203"/>
      <c r="D15" s="204"/>
      <c r="E15" s="204"/>
      <c r="F15" s="221"/>
      <c r="G15" s="202"/>
      <c r="H15" s="193"/>
      <c r="I15" s="193"/>
      <c r="J15" s="235"/>
      <c r="K15" s="228"/>
      <c r="L15" s="193"/>
      <c r="M15" s="193"/>
      <c r="N15" s="229"/>
    </row>
    <row r="16" spans="1:14">
      <c r="A16" t="s">
        <v>476</v>
      </c>
      <c r="B16" s="11" t="s">
        <v>477</v>
      </c>
      <c r="C16" s="203">
        <v>0.12139999999999999</v>
      </c>
      <c r="D16" s="204">
        <v>-1.1416999999999999</v>
      </c>
      <c r="E16" s="204">
        <v>1.3844000000000001</v>
      </c>
      <c r="F16" s="221">
        <v>0.85060000000000002</v>
      </c>
      <c r="G16" s="202">
        <v>-0.7913</v>
      </c>
      <c r="H16" s="193">
        <v>-2.1570999999999998</v>
      </c>
      <c r="I16" s="193">
        <v>0.57450000000000001</v>
      </c>
      <c r="J16" s="235">
        <v>0.25609999999999999</v>
      </c>
      <c r="K16" s="228">
        <v>-0.50719999999999998</v>
      </c>
      <c r="L16" s="193">
        <v>-2.3256999999999999</v>
      </c>
      <c r="M16" s="193">
        <v>1.3113999999999999</v>
      </c>
      <c r="N16" s="229">
        <v>0.5847</v>
      </c>
    </row>
    <row r="17" spans="1:14">
      <c r="B17" s="11"/>
      <c r="C17" s="203"/>
      <c r="D17" s="204"/>
      <c r="E17" s="204"/>
      <c r="F17" s="221"/>
      <c r="G17" s="202"/>
      <c r="H17" s="193"/>
      <c r="I17" s="208"/>
      <c r="J17" s="235"/>
      <c r="K17" s="228"/>
      <c r="L17" s="193"/>
      <c r="M17" s="193"/>
      <c r="N17" s="229"/>
    </row>
    <row r="18" spans="1:14">
      <c r="A18" s="209" t="s">
        <v>478</v>
      </c>
      <c r="B18" s="210" t="s">
        <v>479</v>
      </c>
      <c r="C18" s="203">
        <v>9.1200000000000003E-2</v>
      </c>
      <c r="D18" s="204">
        <v>-0.18809999999999999</v>
      </c>
      <c r="E18" s="204">
        <v>0.3705</v>
      </c>
      <c r="F18" s="221">
        <v>0.52210000000000001</v>
      </c>
      <c r="G18" s="202">
        <v>0.5353</v>
      </c>
      <c r="H18" s="193">
        <v>0.26240000000000002</v>
      </c>
      <c r="I18" s="208">
        <v>0.80830000000000002</v>
      </c>
      <c r="J18" s="235">
        <v>1E-4</v>
      </c>
      <c r="K18" s="228">
        <v>0.24660000000000001</v>
      </c>
      <c r="L18" s="193">
        <v>-9.9500000000000005E-2</v>
      </c>
      <c r="M18" s="193">
        <v>0.5927</v>
      </c>
      <c r="N18" s="229">
        <v>0.16259999999999999</v>
      </c>
    </row>
    <row r="19" spans="1:14">
      <c r="A19" s="209"/>
      <c r="B19" s="210"/>
      <c r="C19" s="203"/>
      <c r="D19" s="204"/>
      <c r="E19" s="204"/>
      <c r="F19" s="221"/>
      <c r="G19" s="202"/>
      <c r="H19" s="193"/>
      <c r="I19" s="193"/>
      <c r="J19" s="235"/>
      <c r="K19" s="228"/>
      <c r="L19" s="193"/>
      <c r="M19" s="193"/>
      <c r="N19" s="229"/>
    </row>
    <row r="20" spans="1:14">
      <c r="A20" t="s">
        <v>480</v>
      </c>
      <c r="B20" s="11" t="s">
        <v>481</v>
      </c>
      <c r="C20" s="203">
        <v>2.3E-3</v>
      </c>
      <c r="D20" s="204">
        <v>-2.29E-2</v>
      </c>
      <c r="E20" s="204">
        <v>2.76E-2</v>
      </c>
      <c r="F20" s="221">
        <v>0.85540000000000005</v>
      </c>
      <c r="G20" s="202">
        <v>-6.4532999999999996</v>
      </c>
      <c r="H20" s="193">
        <v>-19.996500000000001</v>
      </c>
      <c r="I20" s="193">
        <v>7.0899000000000001</v>
      </c>
      <c r="J20" s="235">
        <v>0.3503</v>
      </c>
      <c r="K20" s="228">
        <v>-8.3889999999999993</v>
      </c>
      <c r="L20" s="193">
        <v>-24.137</v>
      </c>
      <c r="M20" s="193">
        <v>7.359</v>
      </c>
      <c r="N20" s="229">
        <v>0.2964</v>
      </c>
    </row>
    <row r="21" spans="1:14">
      <c r="B21" s="11" t="s">
        <v>53</v>
      </c>
      <c r="C21" s="203"/>
      <c r="D21" s="204"/>
      <c r="E21" s="204"/>
      <c r="F21" s="221"/>
      <c r="G21" s="202"/>
      <c r="H21" s="193"/>
      <c r="I21" s="193"/>
      <c r="J21" s="235"/>
      <c r="K21" s="228"/>
      <c r="L21" s="193"/>
      <c r="M21" s="193"/>
      <c r="N21" s="229"/>
    </row>
    <row r="22" spans="1:14">
      <c r="A22" t="s">
        <v>484</v>
      </c>
      <c r="B22" s="11" t="s">
        <v>44</v>
      </c>
      <c r="C22" s="203">
        <v>-1.4219999999999999</v>
      </c>
      <c r="D22" s="204">
        <v>-2.7317999999999998</v>
      </c>
      <c r="E22" s="204">
        <v>-0.11219999999999999</v>
      </c>
      <c r="F22" s="221">
        <v>3.3300000000000003E-2</v>
      </c>
      <c r="J22" s="235"/>
      <c r="K22" s="230"/>
      <c r="N22" s="229"/>
    </row>
    <row r="23" spans="1:14">
      <c r="B23" s="11" t="s">
        <v>102</v>
      </c>
      <c r="C23" s="203">
        <v>0.29099999999999998</v>
      </c>
      <c r="D23" s="204">
        <v>-0.93769999999999998</v>
      </c>
      <c r="E23" s="204">
        <v>1.5197000000000001</v>
      </c>
      <c r="F23" s="221">
        <v>0.64249999999999996</v>
      </c>
      <c r="G23" s="200">
        <v>2.7300000000000001E-2</v>
      </c>
      <c r="H23" s="201">
        <v>1.46E-2</v>
      </c>
      <c r="I23" s="201">
        <v>0.04</v>
      </c>
      <c r="J23" s="248">
        <v>0</v>
      </c>
      <c r="K23" s="228">
        <v>8.5000000000000006E-3</v>
      </c>
      <c r="L23" s="193">
        <v>-3.5000000000000003E-2</v>
      </c>
      <c r="M23" s="193">
        <v>5.1999999999999998E-2</v>
      </c>
      <c r="N23" s="231">
        <v>0.70169999999999999</v>
      </c>
    </row>
    <row r="24" spans="1:14">
      <c r="B24" s="11" t="s">
        <v>93</v>
      </c>
      <c r="C24" s="203">
        <v>0.59</v>
      </c>
      <c r="D24" s="204">
        <v>-0.15479999999999999</v>
      </c>
      <c r="E24" s="204">
        <v>1.3349</v>
      </c>
      <c r="F24" s="221">
        <v>0.1205</v>
      </c>
      <c r="G24" s="200">
        <v>0.111</v>
      </c>
      <c r="H24" s="201">
        <v>0.10150000000000001</v>
      </c>
      <c r="I24" s="201">
        <v>0.12039999999999999</v>
      </c>
      <c r="J24" s="248">
        <v>0</v>
      </c>
      <c r="K24" s="226">
        <v>0.15479999999999999</v>
      </c>
      <c r="L24" s="201">
        <v>0.12239999999999999</v>
      </c>
      <c r="M24" s="201">
        <v>0.18729999999999999</v>
      </c>
      <c r="N24" s="249">
        <v>0</v>
      </c>
    </row>
    <row r="25" spans="1:14">
      <c r="B25" s="11" t="s">
        <v>388</v>
      </c>
      <c r="C25" s="203"/>
      <c r="D25" s="204"/>
      <c r="E25" s="204"/>
      <c r="F25" s="221"/>
      <c r="G25" s="200">
        <v>0.1603</v>
      </c>
      <c r="H25" s="201">
        <v>0.14760000000000001</v>
      </c>
      <c r="I25" s="201">
        <v>0.17299999999999999</v>
      </c>
      <c r="J25" s="248">
        <v>0</v>
      </c>
      <c r="K25" s="226">
        <v>0.11849999999999999</v>
      </c>
      <c r="L25" s="201">
        <v>7.4999999999999997E-2</v>
      </c>
      <c r="M25" s="201">
        <v>0.16200000000000001</v>
      </c>
      <c r="N25" s="249">
        <v>0</v>
      </c>
    </row>
    <row r="26" spans="1:14">
      <c r="B26" s="11" t="s">
        <v>400</v>
      </c>
      <c r="C26" s="198">
        <v>1.3832</v>
      </c>
      <c r="D26" s="199">
        <v>0.24099999999999999</v>
      </c>
      <c r="E26" s="199">
        <v>2.5253999999999999</v>
      </c>
      <c r="F26" s="220">
        <v>1.7600000000000001E-2</v>
      </c>
      <c r="G26" s="200">
        <v>0.1333</v>
      </c>
      <c r="H26" s="201">
        <v>0.1205</v>
      </c>
      <c r="I26" s="201">
        <v>0.14610000000000001</v>
      </c>
      <c r="J26" s="248">
        <v>0</v>
      </c>
      <c r="K26" s="232">
        <v>0.10199999999999999</v>
      </c>
      <c r="L26" s="233">
        <v>6.6500000000000004E-2</v>
      </c>
      <c r="M26" s="233">
        <v>0.13750000000000001</v>
      </c>
      <c r="N26" s="250">
        <v>0</v>
      </c>
    </row>
    <row r="27" spans="1:14">
      <c r="A27" s="211"/>
      <c r="B27" s="211"/>
      <c r="C27" s="212"/>
      <c r="D27" s="212"/>
      <c r="E27" s="212"/>
      <c r="F27" s="212"/>
      <c r="G27" s="211"/>
      <c r="H27" s="211"/>
      <c r="I27" s="213"/>
      <c r="J27" s="211"/>
    </row>
  </sheetData>
  <mergeCells count="4">
    <mergeCell ref="A1:H1"/>
    <mergeCell ref="C2:F2"/>
    <mergeCell ref="G2:J2"/>
    <mergeCell ref="K2:N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9F6B-AE97-43A0-B213-0D4FCC7DF0FE}">
  <dimension ref="A1:O32"/>
  <sheetViews>
    <sheetView zoomScale="145" zoomScaleNormal="100" workbookViewId="0">
      <selection activeCell="B11" sqref="B11"/>
    </sheetView>
  </sheetViews>
  <sheetFormatPr defaultRowHeight="14.45"/>
  <cols>
    <col min="1" max="1" width="34.85546875" customWidth="1"/>
    <col min="2" max="2" width="39.140625" customWidth="1"/>
    <col min="6" max="6" width="11.140625" bestFit="1" customWidth="1"/>
  </cols>
  <sheetData>
    <row r="1" spans="1:15" ht="14.65" thickBot="1">
      <c r="A1" s="383" t="s">
        <v>492</v>
      </c>
      <c r="B1" s="383"/>
      <c r="C1" s="383"/>
      <c r="D1" s="383"/>
      <c r="E1" s="383"/>
      <c r="F1" s="383"/>
      <c r="G1" s="383"/>
      <c r="H1" s="10"/>
      <c r="I1" s="214"/>
      <c r="J1" s="9"/>
    </row>
    <row r="2" spans="1:15" ht="15" thickTop="1" thickBot="1">
      <c r="A2" s="10"/>
      <c r="B2" s="10"/>
      <c r="C2" s="379" t="s">
        <v>488</v>
      </c>
      <c r="D2" s="380"/>
      <c r="E2" s="380"/>
      <c r="F2" s="381"/>
      <c r="G2" s="376" t="s">
        <v>489</v>
      </c>
      <c r="H2" s="376"/>
      <c r="I2" s="376"/>
      <c r="J2" s="376"/>
      <c r="K2" s="376" t="s">
        <v>490</v>
      </c>
      <c r="L2" s="376"/>
      <c r="M2" s="376"/>
      <c r="N2" s="376"/>
      <c r="O2" s="37"/>
    </row>
    <row r="3" spans="1:15" ht="14.65" thickTop="1">
      <c r="B3" s="11"/>
      <c r="C3" s="195" t="s">
        <v>463</v>
      </c>
      <c r="D3" s="196" t="s">
        <v>464</v>
      </c>
      <c r="E3" s="196" t="s">
        <v>465</v>
      </c>
      <c r="F3" s="197" t="s">
        <v>466</v>
      </c>
      <c r="G3" s="16" t="s">
        <v>463</v>
      </c>
      <c r="H3" s="9" t="s">
        <v>464</v>
      </c>
      <c r="I3" s="9" t="s">
        <v>465</v>
      </c>
      <c r="J3" s="15" t="s">
        <v>466</v>
      </c>
      <c r="K3" s="16" t="s">
        <v>463</v>
      </c>
      <c r="L3" s="9" t="s">
        <v>464</v>
      </c>
      <c r="M3" s="9" t="s">
        <v>465</v>
      </c>
      <c r="N3" s="20" t="s">
        <v>466</v>
      </c>
      <c r="O3" s="37"/>
    </row>
    <row r="4" spans="1:15">
      <c r="B4" s="11"/>
      <c r="C4" s="12"/>
      <c r="D4" s="9"/>
      <c r="E4" s="9"/>
      <c r="F4" s="18"/>
      <c r="G4" s="19"/>
      <c r="H4" s="9"/>
      <c r="I4" s="9"/>
      <c r="J4" s="20"/>
      <c r="K4" s="12"/>
      <c r="L4" s="9"/>
      <c r="M4" s="9"/>
      <c r="N4" s="17"/>
      <c r="O4" s="37"/>
    </row>
    <row r="5" spans="1:15">
      <c r="A5" t="s">
        <v>467</v>
      </c>
      <c r="B5" s="11" t="s">
        <v>468</v>
      </c>
      <c r="C5" s="25">
        <v>-0.66879999999999995</v>
      </c>
      <c r="D5" s="25">
        <v>-1.3887</v>
      </c>
      <c r="E5" s="25">
        <v>5.1200000000000002E-2</v>
      </c>
      <c r="F5" s="26">
        <v>6.8699999999999997E-2</v>
      </c>
      <c r="G5" s="24">
        <v>-1.1895</v>
      </c>
      <c r="H5" s="25">
        <v>-1.704</v>
      </c>
      <c r="I5" s="25">
        <v>-0.67500000000000004</v>
      </c>
      <c r="J5" s="26">
        <v>0</v>
      </c>
      <c r="K5" s="24">
        <v>-1.4379999999999999</v>
      </c>
      <c r="L5" s="25">
        <v>-2.4535999999999998</v>
      </c>
      <c r="M5" s="25">
        <v>-0.42230000000000001</v>
      </c>
      <c r="N5" s="215">
        <v>5.4999999999999997E-3</v>
      </c>
      <c r="O5" s="37"/>
    </row>
    <row r="6" spans="1:15">
      <c r="B6" s="11"/>
      <c r="C6" s="9"/>
      <c r="D6" s="9"/>
      <c r="E6" s="9"/>
      <c r="F6" s="34"/>
      <c r="G6" s="191"/>
      <c r="H6" s="25"/>
      <c r="I6" s="25"/>
      <c r="J6" s="192"/>
      <c r="K6" s="21"/>
      <c r="L6" s="22"/>
      <c r="M6" s="22"/>
      <c r="N6" s="216"/>
      <c r="O6" s="37"/>
    </row>
    <row r="7" spans="1:15">
      <c r="A7" t="s">
        <v>469</v>
      </c>
      <c r="B7" s="11" t="s">
        <v>470</v>
      </c>
      <c r="C7" s="21"/>
      <c r="D7" s="22"/>
      <c r="E7" s="22"/>
      <c r="F7" s="18"/>
      <c r="G7" s="191"/>
      <c r="H7" s="25"/>
      <c r="I7" s="25"/>
      <c r="J7" s="192"/>
      <c r="K7" s="21"/>
      <c r="L7" s="22"/>
      <c r="M7" s="22"/>
      <c r="N7" s="17"/>
      <c r="O7" s="37"/>
    </row>
    <row r="8" spans="1:15">
      <c r="B8" s="11" t="s">
        <v>471</v>
      </c>
      <c r="C8" s="21"/>
      <c r="D8" s="22"/>
      <c r="E8" s="22"/>
      <c r="F8" s="18"/>
      <c r="G8" s="217"/>
      <c r="H8" s="217"/>
      <c r="I8" s="217"/>
      <c r="J8" s="215"/>
      <c r="K8" s="21"/>
      <c r="L8" s="22"/>
      <c r="M8" s="22"/>
      <c r="N8" s="17"/>
      <c r="O8" s="37"/>
    </row>
    <row r="9" spans="1:15">
      <c r="B9" s="11"/>
      <c r="C9" s="21"/>
      <c r="D9" s="22"/>
      <c r="E9" s="22"/>
      <c r="F9" s="18"/>
      <c r="G9" s="191"/>
      <c r="H9" s="25"/>
      <c r="I9" s="25"/>
      <c r="J9" s="192"/>
      <c r="K9" s="21"/>
      <c r="L9" s="22"/>
      <c r="M9" s="22"/>
      <c r="N9" s="17"/>
      <c r="O9" s="37"/>
    </row>
    <row r="10" spans="1:15">
      <c r="A10" t="s">
        <v>472</v>
      </c>
      <c r="B10" s="11" t="s">
        <v>473</v>
      </c>
      <c r="C10" s="22">
        <v>-7.1999999999999998E-3</v>
      </c>
      <c r="D10" s="22">
        <v>-3.5000000000000003E-2</v>
      </c>
      <c r="E10" s="22">
        <v>2.06E-2</v>
      </c>
      <c r="F10" s="34">
        <v>0.61319999999999997</v>
      </c>
      <c r="G10" s="191"/>
      <c r="H10" s="25"/>
      <c r="I10" s="25"/>
      <c r="J10" s="192"/>
      <c r="K10" s="21"/>
      <c r="L10" s="22"/>
      <c r="M10" s="22"/>
      <c r="N10" s="17"/>
      <c r="O10" s="37"/>
    </row>
    <row r="11" spans="1:15">
      <c r="B11" s="11"/>
      <c r="C11" s="21"/>
      <c r="D11" s="22"/>
      <c r="E11" s="22"/>
      <c r="F11" s="18"/>
      <c r="G11" s="218"/>
      <c r="H11" s="219"/>
      <c r="I11" s="219"/>
      <c r="J11" s="251"/>
      <c r="K11" s="21"/>
      <c r="L11" s="22"/>
      <c r="M11" s="22"/>
      <c r="N11" s="17"/>
      <c r="O11" s="37"/>
    </row>
    <row r="12" spans="1:15">
      <c r="A12" t="s">
        <v>474</v>
      </c>
      <c r="B12" s="11" t="s">
        <v>97</v>
      </c>
      <c r="C12" s="25">
        <v>-0.88439999999999996</v>
      </c>
      <c r="D12" s="25">
        <v>-1.232</v>
      </c>
      <c r="E12" s="25">
        <v>-0.53669999999999995</v>
      </c>
      <c r="F12" s="215">
        <v>0</v>
      </c>
      <c r="G12" s="191">
        <v>-0.38450000000000001</v>
      </c>
      <c r="H12" s="25">
        <v>-0.61890000000000001</v>
      </c>
      <c r="I12" s="25">
        <v>-0.1502</v>
      </c>
      <c r="J12" s="192">
        <v>1.2999999999999999E-3</v>
      </c>
      <c r="K12" s="22">
        <v>4.02E-2</v>
      </c>
      <c r="L12" s="22">
        <v>-0.68179999999999996</v>
      </c>
      <c r="M12" s="22">
        <v>0.76219999999999999</v>
      </c>
      <c r="N12" s="34">
        <v>0.91310000000000002</v>
      </c>
      <c r="O12" s="37"/>
    </row>
    <row r="13" spans="1:15">
      <c r="B13" s="11" t="s">
        <v>64</v>
      </c>
      <c r="C13" s="25">
        <v>-1.9858</v>
      </c>
      <c r="D13" s="25">
        <v>-2.7313000000000001</v>
      </c>
      <c r="E13" s="25">
        <v>-1.2403</v>
      </c>
      <c r="F13" s="215">
        <v>0</v>
      </c>
      <c r="G13" s="191">
        <v>0.20039999999999999</v>
      </c>
      <c r="H13" s="25">
        <v>-0.2611</v>
      </c>
      <c r="I13" s="25">
        <v>0.66180000000000005</v>
      </c>
      <c r="J13" s="192">
        <v>0.3947</v>
      </c>
      <c r="K13" s="22">
        <v>0.24529999999999999</v>
      </c>
      <c r="L13" s="22">
        <v>-0.2334</v>
      </c>
      <c r="M13" s="22">
        <v>0.72409999999999997</v>
      </c>
      <c r="N13" s="34">
        <v>0.31519999999999998</v>
      </c>
      <c r="O13" s="37"/>
    </row>
    <row r="14" spans="1:15">
      <c r="B14" s="11" t="s">
        <v>74</v>
      </c>
      <c r="C14" s="9"/>
      <c r="D14" s="9"/>
      <c r="E14" s="9"/>
      <c r="F14" s="34"/>
      <c r="G14" s="23"/>
      <c r="H14" s="22"/>
      <c r="I14" s="22"/>
      <c r="J14" s="20"/>
      <c r="K14" s="22"/>
      <c r="L14" s="22"/>
      <c r="M14" s="22"/>
      <c r="N14" s="34"/>
      <c r="O14" s="37"/>
    </row>
    <row r="15" spans="1:15">
      <c r="B15" s="11" t="s">
        <v>220</v>
      </c>
      <c r="C15" s="25">
        <v>4.1555</v>
      </c>
      <c r="D15" s="25">
        <v>2.9470999999999998</v>
      </c>
      <c r="E15" s="25">
        <v>5.3638000000000003</v>
      </c>
      <c r="F15" s="215">
        <v>0</v>
      </c>
      <c r="G15" s="23"/>
      <c r="H15" s="22"/>
      <c r="I15" s="22"/>
      <c r="J15" s="20"/>
      <c r="K15" s="21"/>
      <c r="L15" s="22"/>
      <c r="M15" s="22"/>
      <c r="N15" s="17"/>
      <c r="O15" s="37"/>
    </row>
    <row r="16" spans="1:15">
      <c r="B16" s="11" t="s">
        <v>114</v>
      </c>
      <c r="C16" s="25">
        <v>-1.0276000000000001</v>
      </c>
      <c r="D16" s="25">
        <v>-1.6935</v>
      </c>
      <c r="E16" s="25">
        <v>-0.36180000000000001</v>
      </c>
      <c r="F16" s="215">
        <v>2.5000000000000001E-3</v>
      </c>
      <c r="G16" s="23"/>
      <c r="H16" s="22"/>
      <c r="I16" s="22"/>
      <c r="J16" s="20"/>
      <c r="K16" s="22">
        <v>0.21390000000000001</v>
      </c>
      <c r="L16" s="22">
        <v>-0.43940000000000001</v>
      </c>
      <c r="M16" s="22">
        <v>0.86729999999999996</v>
      </c>
      <c r="N16" s="34">
        <v>0.52100000000000002</v>
      </c>
      <c r="O16" s="37"/>
    </row>
    <row r="17" spans="1:15">
      <c r="B17" s="11" t="s">
        <v>51</v>
      </c>
      <c r="C17" s="21"/>
      <c r="D17" s="22"/>
      <c r="E17" s="22"/>
      <c r="F17" s="18"/>
      <c r="G17" s="23"/>
      <c r="H17" s="22"/>
      <c r="I17" s="22"/>
      <c r="J17" s="20"/>
      <c r="K17" s="21"/>
      <c r="L17" s="22"/>
      <c r="M17" s="22"/>
      <c r="N17" s="17"/>
      <c r="O17" s="37"/>
    </row>
    <row r="18" spans="1:15">
      <c r="B18" s="11"/>
      <c r="C18" s="21"/>
      <c r="D18" s="22"/>
      <c r="E18" s="22"/>
      <c r="F18" s="18"/>
      <c r="G18" s="23"/>
      <c r="H18" s="22"/>
      <c r="I18" s="22"/>
      <c r="J18" s="20"/>
      <c r="K18" s="21"/>
      <c r="L18" s="22"/>
      <c r="M18" s="22"/>
      <c r="N18" s="17"/>
      <c r="O18" s="37"/>
    </row>
    <row r="19" spans="1:15">
      <c r="A19" t="s">
        <v>14</v>
      </c>
      <c r="B19" s="11" t="s">
        <v>475</v>
      </c>
      <c r="C19" s="21"/>
      <c r="D19" s="22"/>
      <c r="E19" s="22"/>
      <c r="F19" s="18"/>
      <c r="G19" s="23"/>
      <c r="H19" s="22"/>
      <c r="I19" s="22"/>
      <c r="J19" s="20"/>
      <c r="K19" s="21"/>
      <c r="L19" s="22"/>
      <c r="M19" s="22"/>
      <c r="N19" s="17"/>
      <c r="O19" s="37"/>
    </row>
    <row r="20" spans="1:15">
      <c r="B20" s="11"/>
      <c r="C20" s="21"/>
      <c r="D20" s="22"/>
      <c r="E20" s="22"/>
      <c r="F20" s="18"/>
      <c r="G20" s="23"/>
      <c r="H20" s="22"/>
      <c r="I20" s="22"/>
      <c r="J20" s="20"/>
      <c r="K20" s="21"/>
      <c r="L20" s="22"/>
      <c r="M20" s="22"/>
      <c r="N20" s="17"/>
      <c r="O20" s="37"/>
    </row>
    <row r="21" spans="1:15">
      <c r="A21" t="s">
        <v>476</v>
      </c>
      <c r="B21" s="11" t="s">
        <v>477</v>
      </c>
      <c r="C21" s="21"/>
      <c r="D21" s="22"/>
      <c r="E21" s="22"/>
      <c r="F21" s="18"/>
      <c r="G21" s="23"/>
      <c r="H21" s="22"/>
      <c r="I21" s="22"/>
      <c r="J21" s="20"/>
      <c r="K21" s="21"/>
      <c r="L21" s="22"/>
      <c r="M21" s="22"/>
      <c r="N21" s="17"/>
      <c r="O21" s="37"/>
    </row>
    <row r="22" spans="1:15">
      <c r="B22" s="11"/>
      <c r="C22" s="9"/>
      <c r="D22" s="9"/>
      <c r="E22" s="9"/>
      <c r="F22" s="34"/>
      <c r="G22" s="23"/>
      <c r="H22" s="22"/>
      <c r="I22" s="22"/>
      <c r="J22" s="20"/>
      <c r="K22" s="21"/>
      <c r="L22" s="22"/>
      <c r="M22" s="22"/>
      <c r="N22" s="17"/>
      <c r="O22" s="37"/>
    </row>
    <row r="23" spans="1:15">
      <c r="A23" t="s">
        <v>478</v>
      </c>
      <c r="B23" s="11" t="s">
        <v>479</v>
      </c>
      <c r="C23" s="21"/>
      <c r="D23" s="22"/>
      <c r="E23" s="22"/>
      <c r="F23" s="18"/>
      <c r="G23" s="23">
        <v>-5.6099999999999997E-2</v>
      </c>
      <c r="H23" s="22">
        <v>-0.24179999999999999</v>
      </c>
      <c r="I23" s="22">
        <v>0.12970000000000001</v>
      </c>
      <c r="J23" s="20">
        <v>0.55410000000000004</v>
      </c>
      <c r="K23" s="24"/>
      <c r="L23" s="25"/>
      <c r="M23" s="25"/>
      <c r="N23" s="27"/>
      <c r="O23" s="37"/>
    </row>
    <row r="24" spans="1:15">
      <c r="B24" s="11"/>
      <c r="C24" s="21"/>
      <c r="D24" s="22"/>
      <c r="E24" s="22"/>
      <c r="F24" s="18"/>
      <c r="G24" s="23"/>
      <c r="H24" s="22"/>
      <c r="I24" s="22"/>
      <c r="J24" s="20"/>
      <c r="K24" s="21"/>
      <c r="L24" s="22"/>
      <c r="M24" s="22"/>
      <c r="N24" s="17"/>
      <c r="O24" s="37"/>
    </row>
    <row r="25" spans="1:15">
      <c r="A25" t="s">
        <v>480</v>
      </c>
      <c r="B25" s="11" t="s">
        <v>481</v>
      </c>
      <c r="C25" s="24"/>
      <c r="D25" s="25"/>
      <c r="E25" s="25"/>
      <c r="F25" s="26"/>
      <c r="G25" s="23"/>
      <c r="H25" s="22"/>
      <c r="I25" s="22"/>
      <c r="J25" s="20"/>
      <c r="K25" s="24"/>
      <c r="L25" s="25"/>
      <c r="M25" s="25"/>
      <c r="N25" s="27"/>
      <c r="O25" s="37"/>
    </row>
    <row r="26" spans="1:15">
      <c r="B26" s="11"/>
      <c r="C26" s="21"/>
      <c r="D26" s="22"/>
      <c r="E26" s="22"/>
      <c r="F26" s="18"/>
      <c r="G26" s="23"/>
      <c r="H26" s="22"/>
      <c r="I26" s="22"/>
      <c r="J26" s="20"/>
      <c r="K26" s="21"/>
      <c r="L26" s="22"/>
      <c r="M26" s="22"/>
      <c r="N26" s="17"/>
      <c r="O26" s="37"/>
    </row>
    <row r="27" spans="1:15">
      <c r="A27" t="s">
        <v>482</v>
      </c>
      <c r="B27" s="11" t="s">
        <v>483</v>
      </c>
      <c r="C27" s="21"/>
      <c r="D27" s="22"/>
      <c r="E27" s="22"/>
      <c r="F27" s="18"/>
      <c r="G27" s="23"/>
      <c r="H27" s="22"/>
      <c r="I27" s="22"/>
      <c r="J27" s="20"/>
      <c r="K27" s="21"/>
      <c r="L27" s="22"/>
      <c r="M27" s="22"/>
      <c r="N27" s="17"/>
      <c r="O27" s="37"/>
    </row>
    <row r="28" spans="1:15">
      <c r="B28" s="11"/>
      <c r="C28" s="21"/>
      <c r="D28" s="22"/>
      <c r="E28" s="22"/>
      <c r="F28" s="18"/>
      <c r="G28" s="9"/>
      <c r="H28" s="9"/>
      <c r="I28" s="9"/>
      <c r="J28" s="34"/>
      <c r="K28" s="21"/>
      <c r="L28" s="22"/>
      <c r="M28" s="22"/>
      <c r="N28" s="17"/>
      <c r="O28" s="37"/>
    </row>
    <row r="29" spans="1:15">
      <c r="A29" t="s">
        <v>484</v>
      </c>
      <c r="B29" s="11" t="s">
        <v>44</v>
      </c>
      <c r="C29" s="21"/>
      <c r="D29" s="22"/>
      <c r="E29" s="22"/>
      <c r="F29" s="18"/>
      <c r="G29" s="23"/>
      <c r="H29" s="22"/>
      <c r="I29" s="22"/>
      <c r="J29" s="20"/>
      <c r="K29" s="24"/>
      <c r="L29" s="25"/>
      <c r="M29" s="25"/>
      <c r="N29" s="27"/>
      <c r="O29" s="37"/>
    </row>
    <row r="30" spans="1:15">
      <c r="B30" s="11" t="s">
        <v>102</v>
      </c>
      <c r="C30" s="9"/>
      <c r="D30" s="9"/>
      <c r="E30" s="9"/>
      <c r="F30" s="18"/>
      <c r="G30" s="24">
        <v>-0.98770000000000002</v>
      </c>
      <c r="H30" s="25">
        <v>-1.7434000000000001</v>
      </c>
      <c r="I30" s="25">
        <v>-0.23200000000000001</v>
      </c>
      <c r="J30" s="26">
        <v>1.04E-2</v>
      </c>
      <c r="K30" s="24">
        <v>-1.3768</v>
      </c>
      <c r="L30" s="25">
        <v>-2.3776999999999999</v>
      </c>
      <c r="M30" s="25">
        <v>-0.37590000000000001</v>
      </c>
      <c r="N30" s="215">
        <v>7.0000000000000001E-3</v>
      </c>
      <c r="O30" s="37"/>
    </row>
    <row r="31" spans="1:15" ht="14.65" thickBot="1">
      <c r="B31" s="11" t="s">
        <v>93</v>
      </c>
      <c r="C31" s="24">
        <v>-0.74309999999999998</v>
      </c>
      <c r="D31" s="25">
        <v>-1.1133999999999999</v>
      </c>
      <c r="E31" s="25">
        <v>-0.37269999999999998</v>
      </c>
      <c r="F31" s="26">
        <v>1E-4</v>
      </c>
      <c r="G31" s="12"/>
      <c r="H31" s="9"/>
      <c r="I31" s="9"/>
      <c r="J31" s="18"/>
      <c r="K31" s="21"/>
      <c r="L31" s="22"/>
      <c r="M31" s="22"/>
      <c r="N31" s="17"/>
      <c r="O31" s="37"/>
    </row>
    <row r="32" spans="1:15" ht="14.65" thickTop="1">
      <c r="A32" s="7"/>
      <c r="B32" s="7"/>
      <c r="C32" s="8"/>
      <c r="D32" s="8"/>
      <c r="E32" s="8"/>
      <c r="F32" s="35"/>
      <c r="G32" s="8"/>
      <c r="H32" s="8"/>
      <c r="I32" s="8"/>
      <c r="J32" s="36"/>
      <c r="K32" s="8"/>
      <c r="L32" s="8"/>
      <c r="M32" s="8"/>
      <c r="N32" s="36"/>
    </row>
  </sheetData>
  <mergeCells count="4">
    <mergeCell ref="A1:G1"/>
    <mergeCell ref="C2:F2"/>
    <mergeCell ref="G2:J2"/>
    <mergeCell ref="K2:N2"/>
  </mergeCells>
  <conditionalFormatting sqref="F1">
    <cfRule type="cellIs" dxfId="0" priority="1" operator="greaterThan">
      <formula>0.05</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316E6E19EED049B9F10997CEAD9CC7" ma:contentTypeVersion="11" ma:contentTypeDescription="Create a new document." ma:contentTypeScope="" ma:versionID="f679f1caa1036590847d019de851e45e">
  <xsd:schema xmlns:xsd="http://www.w3.org/2001/XMLSchema" xmlns:xs="http://www.w3.org/2001/XMLSchema" xmlns:p="http://schemas.microsoft.com/office/2006/metadata/properties" xmlns:ns2="9fc6b854-2edf-48cf-95bd-2ee7b5edc031" xmlns:ns3="9d78d940-32f9-46c3-8df0-6eed430b9e42" targetNamespace="http://schemas.microsoft.com/office/2006/metadata/properties" ma:root="true" ma:fieldsID="a7abf67dfdb7272b095e24fd0fc80073" ns2:_="" ns3:_="">
    <xsd:import namespace="9fc6b854-2edf-48cf-95bd-2ee7b5edc031"/>
    <xsd:import namespace="9d78d940-32f9-46c3-8df0-6eed430b9e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c6b854-2edf-48cf-95bd-2ee7b5edc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37a8ded-3f91-4be5-83ad-6fb9390bbe2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78d940-32f9-46c3-8df0-6eed430b9e4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0cc86b2-3f3a-4d03-807e-9dc0f974e912}" ma:internalName="TaxCatchAll" ma:showField="CatchAllData" ma:web="9d78d940-32f9-46c3-8df0-6eed430b9e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c6b854-2edf-48cf-95bd-2ee7b5edc031">
      <Terms xmlns="http://schemas.microsoft.com/office/infopath/2007/PartnerControls"/>
    </lcf76f155ced4ddcb4097134ff3c332f>
    <TaxCatchAll xmlns="9d78d940-32f9-46c3-8df0-6eed430b9e42" xsi:nil="true"/>
  </documentManagement>
</p:properties>
</file>

<file path=customXml/itemProps1.xml><?xml version="1.0" encoding="utf-8"?>
<ds:datastoreItem xmlns:ds="http://schemas.openxmlformats.org/officeDocument/2006/customXml" ds:itemID="{CB31DDD9-557A-4629-AE1E-33059F8AEA34}"/>
</file>

<file path=customXml/itemProps2.xml><?xml version="1.0" encoding="utf-8"?>
<ds:datastoreItem xmlns:ds="http://schemas.openxmlformats.org/officeDocument/2006/customXml" ds:itemID="{EFD6284C-7BAA-4CDD-A31D-B8BDE0793E55}"/>
</file>

<file path=customXml/itemProps3.xml><?xml version="1.0" encoding="utf-8"?>
<ds:datastoreItem xmlns:ds="http://schemas.openxmlformats.org/officeDocument/2006/customXml" ds:itemID="{FE11F013-2AED-457D-8A53-CE05603051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Bantjes | SAMRC</dc:creator>
  <cp:keywords/>
  <dc:description/>
  <cp:lastModifiedBy>lsigwadhi</cp:lastModifiedBy>
  <cp:revision/>
  <dcterms:created xsi:type="dcterms:W3CDTF">2025-01-20T08:40:15Z</dcterms:created>
  <dcterms:modified xsi:type="dcterms:W3CDTF">2025-10-24T07:08:39Z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0x01010041316E6E19EED049B9F10997CEAD9CC7</vt:lpwstr>
  </property>
  <property fmtid="{D5CDD505-2E9C-101B-9397-08002B2CF9AE}" pid="3" name="MediaServiceImageTags">
    <vt:lpwstr/>
  </property>
</Properties>
</file>